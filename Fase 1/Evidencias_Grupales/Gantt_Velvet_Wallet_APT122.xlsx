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5670" tabRatio="500" firstSheet="0" activeTab="0" autoFilterDateGrouping="1"/>
  </bookViews>
  <sheets>
    <sheet name="Gestión Proyecto Carta Gantt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mm/dd/yy;@"/>
    <numFmt numFmtId="166" formatCode="dd/mm/yyyy"/>
    <numFmt numFmtId="167" formatCode="yyyy-mm-dd"/>
  </numFmts>
  <fonts count="16">
    <font>
      <name val="Corbel"/>
      <family val="2"/>
      <color theme="1"/>
      <sz val="12"/>
      <scheme val="minor"/>
    </font>
    <font>
      <name val="Corbel"/>
      <family val="2"/>
      <color theme="1"/>
      <sz val="12"/>
      <scheme val="minor"/>
    </font>
    <font>
      <name val="Century Gothic"/>
      <family val="1"/>
      <color theme="1"/>
      <sz val="12"/>
    </font>
    <font>
      <name val="Arial"/>
      <family val="2"/>
      <b val="1"/>
      <color rgb="FF000000"/>
      <sz val="15"/>
    </font>
    <font>
      <name val="Century Gothic"/>
      <family val="1"/>
      <b val="1"/>
      <color theme="0"/>
      <sz val="10"/>
    </font>
    <font>
      <name val="Century Gothic"/>
      <family val="1"/>
      <color theme="1"/>
      <sz val="10"/>
    </font>
    <font>
      <name val="Century Gothic"/>
      <family val="1"/>
      <b val="1"/>
      <color theme="4" tint="-0.249977111117893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theme="1"/>
      <sz val="10"/>
    </font>
    <font>
      <name val="Century Gothic"/>
      <family val="1"/>
      <b val="1"/>
      <color theme="0" tint="-0.499984740745262"/>
      <sz val="20"/>
    </font>
    <font>
      <name val="Corbel"/>
      <family val="2"/>
      <color theme="1"/>
      <sz val="11"/>
      <scheme val="minor"/>
    </font>
    <font>
      <name val="Corbel"/>
      <family val="2"/>
      <sz val="8"/>
      <scheme val="minor"/>
    </font>
    <font>
      <name val="Century Gothic"/>
      <sz val="9"/>
    </font>
    <font>
      <name val="Century Gothic"/>
      <b val="1"/>
      <sz val="10"/>
    </font>
    <font>
      <name val="Century Gothic"/>
      <sz val="10"/>
    </font>
    <font>
      <name val="Century Gothic"/>
      <i val="1"/>
      <sz val="8"/>
    </font>
  </fonts>
  <fills count="28">
    <fill>
      <patternFill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1F3864"/>
      </patternFill>
    </fill>
    <fill>
      <patternFill patternType="solid">
        <fgColor rgb="FF7F7F7F"/>
      </patternFill>
    </fill>
    <fill>
      <patternFill patternType="solid">
        <fgColor rgb="FFED7D31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5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 style="medium">
        <color theme="0" tint="-0.3499862666707358"/>
      </left>
      <right/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0" tint="-0.3499862666707358"/>
      </top>
      <bottom/>
      <diagonal/>
    </border>
    <border>
      <left/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3499862666707358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8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8"/>
      </bottom>
      <diagonal/>
    </border>
    <border>
      <left style="thin">
        <color theme="0" tint="-0.3499862666707358"/>
      </left>
      <right style="medium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3499862666707358"/>
      </left>
      <right style="medium">
        <color theme="0" tint="-0.3499862666707358"/>
      </right>
      <top/>
      <bottom style="double">
        <color theme="0" tint="-0.3499862666707358"/>
      </bottom>
      <diagonal/>
    </border>
    <border>
      <left style="thin">
        <color theme="0" tint="-0.249977111117893"/>
      </left>
      <right style="medium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hair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hair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hair">
        <color theme="0" tint="-0.3499862666707358"/>
      </right>
      <top/>
      <bottom style="double">
        <color theme="0" tint="-0.3499862666707358"/>
      </bottom>
      <diagonal/>
    </border>
    <border>
      <left/>
      <right style="thin">
        <color theme="0" tint="-0.3499862666707358"/>
      </right>
      <top/>
      <bottom style="double">
        <color theme="0" tint="-0.3499862666707358"/>
      </bottom>
      <diagonal/>
    </border>
    <border>
      <left/>
      <right style="thin">
        <color theme="0" tint="-0.3499862666707358"/>
      </right>
      <top style="medium">
        <color theme="0" tint="-0.3499862666707358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8"/>
      </left>
      <right style="hair">
        <color theme="0" tint="-0.3499862666707358"/>
      </right>
      <top style="medium">
        <color theme="0" tint="-0.3499862666707358"/>
      </top>
      <bottom/>
      <diagonal/>
    </border>
    <border>
      <left style="thin">
        <color theme="0" tint="-0.249977111117893"/>
      </left>
      <right style="hair">
        <color theme="0" tint="-0.3499862666707358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8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8"/>
      </right>
      <top style="thin">
        <color theme="0" tint="-0.249977111117893"/>
      </top>
      <bottom style="medium">
        <color theme="0" tint="-0.3499862666707358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249977111117893"/>
      </top>
      <bottom style="medium">
        <color theme="0" tint="-0.3499862666707358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8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3499862666707358"/>
      </top>
      <bottom style="thin">
        <color theme="0" tint="-0.249977111117893"/>
      </bottom>
      <diagonal/>
    </border>
    <border>
      <left/>
      <right/>
      <top style="medium">
        <color theme="0" tint="-0.3499862666707358"/>
      </top>
      <bottom/>
      <diagonal/>
    </border>
    <border>
      <left/>
      <right style="medium">
        <color theme="0" tint="-0.249977111117893"/>
      </right>
      <top style="medium">
        <color theme="0" tint="-0.3499862666707358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3499862666707358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3499862666707358"/>
      </top>
      <bottom/>
      <diagonal/>
    </border>
  </borders>
  <cellStyleXfs count="3">
    <xf numFmtId="0" fontId="1" fillId="0" borderId="0"/>
    <xf numFmtId="9" fontId="1" fillId="0" borderId="0"/>
    <xf numFmtId="0" fontId="10" fillId="0" borderId="0"/>
  </cellStyleXfs>
  <cellXfs count="18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8" borderId="8" applyAlignment="1" pivotButton="0" quotePrefix="0" xfId="0">
      <alignment horizontal="left" wrapText="1" indent="1"/>
    </xf>
    <xf numFmtId="0" fontId="7" fillId="8" borderId="11" applyAlignment="1" pivotButton="0" quotePrefix="0" xfId="0">
      <alignment horizontal="left" wrapText="1" indent="1"/>
    </xf>
    <xf numFmtId="0" fontId="7" fillId="8" borderId="11" applyAlignment="1" pivotButton="0" quotePrefix="0" xfId="0">
      <alignment horizontal="center" wrapText="1"/>
    </xf>
    <xf numFmtId="0" fontId="7" fillId="8" borderId="9" applyAlignment="1" pivotButton="0" quotePrefix="0" xfId="0">
      <alignment horizontal="left" vertical="top" wrapText="1" indent="1"/>
    </xf>
    <xf numFmtId="0" fontId="7" fillId="8" borderId="10" applyAlignment="1" pivotButton="0" quotePrefix="0" xfId="0">
      <alignment horizontal="left" vertical="top" wrapText="1" indent="1"/>
    </xf>
    <xf numFmtId="0" fontId="7" fillId="8" borderId="10" applyAlignment="1" pivotButton="0" quotePrefix="0" xfId="0">
      <alignment horizontal="center" vertical="top" wrapText="1"/>
    </xf>
    <xf numFmtId="0" fontId="8" fillId="12" borderId="7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/>
    </xf>
    <xf numFmtId="0" fontId="8" fillId="16" borderId="5" applyAlignment="1" pivotButton="0" quotePrefix="0" xfId="0">
      <alignment horizontal="center" vertical="center"/>
    </xf>
    <xf numFmtId="0" fontId="8" fillId="16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5" fillId="8" borderId="2" pivotButton="0" quotePrefix="0" xfId="0"/>
    <xf numFmtId="0" fontId="5" fillId="8" borderId="1" pivotButton="0" quotePrefix="0" xfId="0"/>
    <xf numFmtId="0" fontId="5" fillId="0" borderId="2" pivotButton="0" quotePrefix="0" xfId="0"/>
    <xf numFmtId="0" fontId="5" fillId="0" borderId="1" pivotButton="0" quotePrefix="0" xfId="0"/>
    <xf numFmtId="0" fontId="5" fillId="13" borderId="1" pivotButton="0" quotePrefix="0" xfId="0"/>
    <xf numFmtId="0" fontId="5" fillId="17" borderId="1" pivotButton="0" quotePrefix="0" xfId="0"/>
    <xf numFmtId="0" fontId="5" fillId="7" borderId="1" pivotButton="0" quotePrefix="0" xfId="0"/>
    <xf numFmtId="0" fontId="5" fillId="0" borderId="18" pivotButton="0" quotePrefix="0" xfId="0"/>
    <xf numFmtId="0" fontId="5" fillId="0" borderId="19" pivotButton="0" quotePrefix="0" xfId="0"/>
    <xf numFmtId="0" fontId="5" fillId="13" borderId="19" pivotButton="0" quotePrefix="0" xfId="0"/>
    <xf numFmtId="0" fontId="5" fillId="17" borderId="19" pivotButton="0" quotePrefix="0" xfId="0"/>
    <xf numFmtId="0" fontId="5" fillId="7" borderId="19" pivotButton="0" quotePrefix="0" xfId="0"/>
    <xf numFmtId="0" fontId="8" fillId="18" borderId="5" applyAlignment="1" pivotButton="0" quotePrefix="0" xfId="0">
      <alignment horizontal="center" vertical="center"/>
    </xf>
    <xf numFmtId="0" fontId="8" fillId="18" borderId="6" applyAlignment="1" pivotButton="0" quotePrefix="0" xfId="0">
      <alignment horizontal="center" vertical="center"/>
    </xf>
    <xf numFmtId="0" fontId="5" fillId="9" borderId="1" pivotButton="0" quotePrefix="0" xfId="0"/>
    <xf numFmtId="0" fontId="5" fillId="9" borderId="19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9" fillId="19" borderId="0" applyAlignment="1" pivotButton="0" quotePrefix="0" xfId="0">
      <alignment vertical="center"/>
    </xf>
    <xf numFmtId="0" fontId="5" fillId="19" borderId="0" applyAlignment="1" pivotButton="0" quotePrefix="0" xfId="0">
      <alignment horizontal="left" vertical="center" wrapText="1" indent="1"/>
    </xf>
    <xf numFmtId="49" fontId="5" fillId="9" borderId="15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5" fillId="8" borderId="4" applyAlignment="1" pivotButton="0" quotePrefix="0" xfId="0">
      <alignment horizontal="left" vertical="center" indent="2"/>
    </xf>
    <xf numFmtId="1" fontId="5" fillId="8" borderId="4" applyAlignment="1" pivotButton="0" quotePrefix="0" xfId="0">
      <alignment horizontal="center" vertical="center"/>
    </xf>
    <xf numFmtId="49" fontId="5" fillId="9" borderId="17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2"/>
    </xf>
    <xf numFmtId="0" fontId="5" fillId="0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indent="3"/>
    </xf>
    <xf numFmtId="0" fontId="5" fillId="0" borderId="1" applyAlignment="1" pivotButton="0" quotePrefix="0" xfId="0">
      <alignment horizontal="left" vertical="center" indent="2"/>
    </xf>
    <xf numFmtId="0" fontId="5" fillId="8" borderId="2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1" fontId="5" fillId="8" borderId="1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 indent="1"/>
    </xf>
    <xf numFmtId="0" fontId="5" fillId="8" borderId="21" pivotButton="0" quotePrefix="0" xfId="0"/>
    <xf numFmtId="0" fontId="5" fillId="0" borderId="21" pivotButton="0" quotePrefix="0" xfId="0"/>
    <xf numFmtId="0" fontId="5" fillId="0" borderId="22" pivotButton="0" quotePrefix="0" xfId="0"/>
    <xf numFmtId="0" fontId="7" fillId="8" borderId="23" applyAlignment="1" pivotButton="0" quotePrefix="0" xfId="0">
      <alignment horizontal="center" wrapText="1"/>
    </xf>
    <xf numFmtId="0" fontId="7" fillId="8" borderId="24" applyAlignment="1" pivotButton="0" quotePrefix="0" xfId="0">
      <alignment horizontal="center" vertical="top" wrapText="1"/>
    </xf>
    <xf numFmtId="9" fontId="8" fillId="8" borderId="25" applyAlignment="1" pivotButton="0" quotePrefix="0" xfId="1">
      <alignment horizontal="center" vertical="center"/>
    </xf>
    <xf numFmtId="9" fontId="8" fillId="0" borderId="16" applyAlignment="1" pivotButton="0" quotePrefix="0" xfId="1">
      <alignment horizontal="center" vertical="center"/>
    </xf>
    <xf numFmtId="9" fontId="8" fillId="8" borderId="16" applyAlignment="1" pivotButton="0" quotePrefix="0" xfId="1">
      <alignment horizontal="center" vertical="center"/>
    </xf>
    <xf numFmtId="9" fontId="8" fillId="0" borderId="20" applyAlignment="1" pivotButton="0" quotePrefix="0" xfId="1">
      <alignment horizontal="center" vertical="center"/>
    </xf>
    <xf numFmtId="164" fontId="5" fillId="9" borderId="27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left" vertical="center" wrapText="1" indent="1"/>
    </xf>
    <xf numFmtId="0" fontId="7" fillId="13" borderId="26" applyAlignment="1" pivotButton="0" quotePrefix="0" xfId="0">
      <alignment horizontal="left" vertical="center" wrapText="1" indent="1"/>
    </xf>
    <xf numFmtId="0" fontId="7" fillId="13" borderId="26" applyAlignment="1" pivotButton="0" quotePrefix="0" xfId="0">
      <alignment horizontal="left" vertical="center" indent="1"/>
    </xf>
    <xf numFmtId="0" fontId="7" fillId="13" borderId="28" applyAlignment="1" pivotButton="0" quotePrefix="0" xfId="0">
      <alignment horizontal="left" vertical="center" wrapText="1" indent="1"/>
    </xf>
    <xf numFmtId="0" fontId="7" fillId="13" borderId="30" applyAlignment="1" pivotButton="0" quotePrefix="0" xfId="0">
      <alignment horizontal="left" vertical="center" wrapText="1" indent="1"/>
    </xf>
    <xf numFmtId="0" fontId="5" fillId="0" borderId="31" applyAlignment="1" pivotButton="0" quotePrefix="0" xfId="0">
      <alignment horizontal="left" vertical="center" wrapText="1" indent="1"/>
    </xf>
    <xf numFmtId="0" fontId="5" fillId="9" borderId="27" applyAlignment="1" pivotButton="0" quotePrefix="0" xfId="0">
      <alignment horizontal="left" vertical="center" wrapText="1" indent="1"/>
    </xf>
    <xf numFmtId="14" fontId="5" fillId="8" borderId="33" applyAlignment="1" pivotButton="0" quotePrefix="0" xfId="0">
      <alignment horizontal="center" vertical="center"/>
    </xf>
    <xf numFmtId="165" fontId="5" fillId="8" borderId="21" applyAlignment="1" pivotButton="0" quotePrefix="0" xfId="0">
      <alignment horizontal="center" vertical="center"/>
    </xf>
    <xf numFmtId="14" fontId="5" fillId="8" borderId="35" applyAlignment="1" pivotButton="0" quotePrefix="0" xfId="0">
      <alignment horizontal="center" vertical="center"/>
    </xf>
    <xf numFmtId="165" fontId="5" fillId="0" borderId="36" applyAlignment="1" pivotButton="0" quotePrefix="0" xfId="0">
      <alignment horizontal="center" vertical="center"/>
    </xf>
    <xf numFmtId="165" fontId="5" fillId="8" borderId="36" applyAlignment="1" pivotButton="0" quotePrefix="0" xfId="0">
      <alignment horizontal="center" vertical="center"/>
    </xf>
    <xf numFmtId="165" fontId="5" fillId="0" borderId="37" applyAlignment="1" pivotButton="0" quotePrefix="0" xfId="0">
      <alignment horizontal="center" vertical="center"/>
    </xf>
    <xf numFmtId="165" fontId="5" fillId="13" borderId="21" applyAlignment="1" pivotButton="0" quotePrefix="0" xfId="0">
      <alignment horizontal="center" vertical="center"/>
    </xf>
    <xf numFmtId="165" fontId="5" fillId="13" borderId="22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1" fontId="5" fillId="9" borderId="19" applyAlignment="1" pivotButton="0" quotePrefix="0" xfId="0">
      <alignment horizontal="center" vertical="center"/>
    </xf>
    <xf numFmtId="0" fontId="7" fillId="8" borderId="34" applyAlignment="1" pivotButton="0" quotePrefix="0" xfId="0">
      <alignment horizontal="center" wrapText="1"/>
    </xf>
    <xf numFmtId="0" fontId="7" fillId="8" borderId="32" applyAlignment="1" pivotButton="0" quotePrefix="0" xfId="0">
      <alignment horizontal="center" wrapText="1"/>
    </xf>
    <xf numFmtId="0" fontId="7" fillId="8" borderId="30" applyAlignment="1" pivotButton="0" quotePrefix="0" xfId="0">
      <alignment horizontal="center" vertical="top" wrapText="1"/>
    </xf>
    <xf numFmtId="0" fontId="7" fillId="8" borderId="31" applyAlignment="1" pivotButton="0" quotePrefix="0" xfId="0">
      <alignment horizontal="center" vertical="top" wrapText="1"/>
    </xf>
    <xf numFmtId="0" fontId="8" fillId="21" borderId="5" applyAlignment="1" pivotButton="0" quotePrefix="0" xfId="0">
      <alignment horizontal="center" vertical="center"/>
    </xf>
    <xf numFmtId="0" fontId="8" fillId="21" borderId="6" applyAlignment="1" pivotButton="0" quotePrefix="0" xfId="0">
      <alignment horizontal="center" vertical="center"/>
    </xf>
    <xf numFmtId="0" fontId="4" fillId="22" borderId="38" applyAlignment="1" pivotButton="0" quotePrefix="0" xfId="0">
      <alignment vertical="center"/>
    </xf>
    <xf numFmtId="0" fontId="4" fillId="20" borderId="14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4" fillId="5" borderId="13" applyAlignment="1" pivotButton="0" quotePrefix="0" xfId="0">
      <alignment horizontal="center" vertical="center"/>
    </xf>
    <xf numFmtId="0" fontId="4" fillId="11" borderId="12" applyAlignment="1" pivotButton="0" quotePrefix="0" xfId="0">
      <alignment horizontal="center" vertical="center"/>
    </xf>
    <xf numFmtId="0" fontId="4" fillId="11" borderId="13" applyAlignment="1" pivotButton="0" quotePrefix="0" xfId="0">
      <alignment horizontal="center" vertical="center"/>
    </xf>
    <xf numFmtId="0" fontId="4" fillId="15" borderId="14" applyAlignment="1" pivotButton="0" quotePrefix="0" xfId="0">
      <alignment horizontal="center" vertical="center"/>
    </xf>
    <xf numFmtId="0" fontId="4" fillId="15" borderId="13" applyAlignment="1" pivotButton="0" quotePrefix="0" xfId="0">
      <alignment horizontal="center" vertical="center"/>
    </xf>
    <xf numFmtId="0" fontId="4" fillId="20" borderId="43" applyAlignment="1" pivotButton="0" quotePrefix="0" xfId="0">
      <alignment horizontal="center" vertical="center"/>
    </xf>
    <xf numFmtId="0" fontId="4" fillId="20" borderId="41" applyAlignment="1" pivotButton="0" quotePrefix="0" xfId="0">
      <alignment horizontal="center" vertical="center"/>
    </xf>
    <xf numFmtId="0" fontId="4" fillId="20" borderId="42" applyAlignment="1" pivotButton="0" quotePrefix="0" xfId="0">
      <alignment horizontal="center" vertical="center"/>
    </xf>
    <xf numFmtId="0" fontId="4" fillId="10" borderId="38" applyAlignment="1" pivotButton="0" quotePrefix="0" xfId="0">
      <alignment horizontal="center" vertical="center"/>
    </xf>
    <xf numFmtId="0" fontId="4" fillId="10" borderId="39" applyAlignment="1" pivotButton="0" quotePrefix="0" xfId="0">
      <alignment horizontal="center" vertical="center"/>
    </xf>
    <xf numFmtId="0" fontId="4" fillId="10" borderId="40" applyAlignment="1" pivotButton="0" quotePrefix="0" xfId="0">
      <alignment horizontal="center" vertical="center"/>
    </xf>
    <xf numFmtId="0" fontId="4" fillId="14" borderId="38" applyAlignment="1" pivotButton="0" quotePrefix="0" xfId="0">
      <alignment horizontal="center" vertical="center"/>
    </xf>
    <xf numFmtId="0" fontId="4" fillId="14" borderId="39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4" borderId="38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22" borderId="38" applyAlignment="1" pivotButton="0" quotePrefix="0" xfId="0">
      <alignment horizontal="center" vertical="center"/>
    </xf>
    <xf numFmtId="0" fontId="4" fillId="22" borderId="39" applyAlignment="1" pivotButton="0" quotePrefix="0" xfId="0">
      <alignment horizontal="center" vertical="center"/>
    </xf>
    <xf numFmtId="0" fontId="4" fillId="5" borderId="43" applyAlignment="1" pivotButton="0" quotePrefix="0" xfId="0">
      <alignment horizontal="center" vertical="center"/>
    </xf>
    <xf numFmtId="0" fontId="4" fillId="5" borderId="41" applyAlignment="1" pivotButton="0" quotePrefix="0" xfId="0">
      <alignment horizontal="center" vertical="center"/>
    </xf>
    <xf numFmtId="0" fontId="4" fillId="5" borderId="42" applyAlignment="1" pivotButton="0" quotePrefix="0" xfId="0">
      <alignment horizontal="center" vertical="center"/>
    </xf>
    <xf numFmtId="0" fontId="12" fillId="9" borderId="27" applyAlignment="1" pivotButton="0" quotePrefix="0" xfId="0">
      <alignment vertical="center"/>
    </xf>
    <xf numFmtId="0" fontId="12" fillId="0" borderId="31" applyAlignment="1" pivotButton="0" quotePrefix="0" xfId="0">
      <alignment vertical="center"/>
    </xf>
    <xf numFmtId="0" fontId="12" fillId="0" borderId="29" applyAlignment="1" pivotButton="0" quotePrefix="0" xfId="0">
      <alignment vertical="center"/>
    </xf>
    <xf numFmtId="166" fontId="12" fillId="9" borderId="27" applyAlignment="1" pivotButton="0" quotePrefix="0" xfId="0">
      <alignment vertical="center"/>
    </xf>
    <xf numFmtId="0" fontId="4" fillId="10" borderId="47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4" fillId="14" borderId="47" applyAlignment="1" pivotButton="0" quotePrefix="0" xfId="0">
      <alignment horizontal="center" vertical="center"/>
    </xf>
    <xf numFmtId="0" fontId="4" fillId="2" borderId="47" applyAlignment="1" pivotButton="0" quotePrefix="0" xfId="0">
      <alignment horizontal="center" vertical="center"/>
    </xf>
    <xf numFmtId="0" fontId="4" fillId="4" borderId="47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12" pivotButton="0" quotePrefix="0" xfId="0"/>
    <xf numFmtId="0" fontId="4" fillId="5" borderId="44" applyAlignment="1" pivotButton="0" quotePrefix="0" xfId="0">
      <alignment horizontal="center" vertical="center"/>
    </xf>
    <xf numFmtId="0" fontId="0" fillId="0" borderId="42" pivotButton="0" quotePrefix="0" xfId="0"/>
    <xf numFmtId="0" fontId="4" fillId="20" borderId="44" applyAlignment="1" pivotButton="0" quotePrefix="0" xfId="0">
      <alignment horizontal="center" vertical="center"/>
    </xf>
    <xf numFmtId="49" fontId="13" fillId="9" borderId="15" applyAlignment="1" pivotButton="0" quotePrefix="0" xfId="0">
      <alignment horizontal="left" vertical="center" indent="1"/>
    </xf>
    <xf numFmtId="0" fontId="13" fillId="8" borderId="3" applyAlignment="1" pivotButton="0" quotePrefix="0" xfId="0">
      <alignment horizontal="left" vertical="center" indent="1"/>
    </xf>
    <xf numFmtId="0" fontId="13" fillId="8" borderId="4" applyAlignment="1" pivotButton="0" quotePrefix="0" xfId="0">
      <alignment horizontal="left" vertical="center" indent="2"/>
    </xf>
    <xf numFmtId="166" fontId="14" fillId="8" borderId="35" applyAlignment="1" pivotButton="0" quotePrefix="0" xfId="0">
      <alignment horizontal="center" vertical="center"/>
    </xf>
    <xf numFmtId="166" fontId="14" fillId="8" borderId="33" applyAlignment="1" pivotButton="0" quotePrefix="0" xfId="0">
      <alignment horizontal="center" vertical="center"/>
    </xf>
    <xf numFmtId="1" fontId="14" fillId="8" borderId="4" applyAlignment="1" pivotButton="0" quotePrefix="0" xfId="0">
      <alignment horizontal="center" vertical="center"/>
    </xf>
    <xf numFmtId="0" fontId="5" fillId="23" borderId="21" pivotButton="0" quotePrefix="0" xfId="0"/>
    <xf numFmtId="0" fontId="5" fillId="23" borderId="1" pivotButton="0" quotePrefix="0" xfId="0"/>
    <xf numFmtId="49" fontId="14" fillId="9" borderId="17" applyAlignment="1" pivotButton="0" quotePrefix="0" xfId="0">
      <alignment horizontal="left" vertical="center" indent="1"/>
    </xf>
    <xf numFmtId="0" fontId="14" fillId="0" borderId="2" applyAlignment="1" pivotButton="0" quotePrefix="0" xfId="0">
      <alignment horizontal="left" vertical="center" indent="2"/>
    </xf>
    <xf numFmtId="0" fontId="14" fillId="0" borderId="1" applyAlignment="1" pivotButton="0" quotePrefix="0" xfId="0">
      <alignment horizontal="left" vertical="center" indent="1"/>
    </xf>
    <xf numFmtId="166" fontId="14" fillId="0" borderId="36" applyAlignment="1" pivotButton="0" quotePrefix="0" xfId="0">
      <alignment horizontal="center" vertical="center"/>
    </xf>
    <xf numFmtId="166" fontId="14" fillId="13" borderId="21" applyAlignment="1" pivotButton="0" quotePrefix="0" xfId="0">
      <alignment horizontal="center" vertical="center"/>
    </xf>
    <xf numFmtId="1" fontId="14" fillId="9" borderId="1" applyAlignment="1" pivotButton="0" quotePrefix="0" xfId="0">
      <alignment horizontal="center" vertical="center"/>
    </xf>
    <xf numFmtId="9" fontId="13" fillId="0" borderId="16" applyAlignment="1" pivotButton="0" quotePrefix="0" xfId="1">
      <alignment horizontal="center" vertical="center"/>
    </xf>
    <xf numFmtId="0" fontId="5" fillId="24" borderId="21" pivotButton="0" quotePrefix="0" xfId="0"/>
    <xf numFmtId="0" fontId="5" fillId="24" borderId="1" pivotButton="0" quotePrefix="0" xfId="0"/>
    <xf numFmtId="0" fontId="14" fillId="0" borderId="2" applyAlignment="1" pivotButton="0" quotePrefix="0" xfId="0">
      <alignment horizontal="left" vertical="center" indent="3"/>
    </xf>
    <xf numFmtId="0" fontId="14" fillId="0" borderId="1" applyAlignment="1" pivotButton="0" quotePrefix="0" xfId="0">
      <alignment horizontal="left" vertical="center" indent="2"/>
    </xf>
    <xf numFmtId="0" fontId="5" fillId="25" borderId="1" pivotButton="0" quotePrefix="0" xfId="0"/>
    <xf numFmtId="0" fontId="5" fillId="26" borderId="1" pivotButton="0" quotePrefix="0" xfId="0"/>
    <xf numFmtId="0" fontId="5" fillId="27" borderId="1" pivotButton="0" quotePrefix="0" xfId="0"/>
    <xf numFmtId="49" fontId="13" fillId="9" borderId="17" applyAlignment="1" pivotButton="0" quotePrefix="0" xfId="0">
      <alignment horizontal="left" vertical="center" indent="1"/>
    </xf>
    <xf numFmtId="0" fontId="13" fillId="8" borderId="2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left" vertical="center" indent="1"/>
    </xf>
    <xf numFmtId="166" fontId="14" fillId="8" borderId="36" applyAlignment="1" pivotButton="0" quotePrefix="0" xfId="0">
      <alignment horizontal="center" vertical="center"/>
    </xf>
    <xf numFmtId="166" fontId="14" fillId="8" borderId="21" applyAlignment="1" pivotButton="0" quotePrefix="0" xfId="0">
      <alignment horizontal="center" vertical="center"/>
    </xf>
    <xf numFmtId="1" fontId="14" fillId="8" borderId="1" applyAlignment="1" pivotButton="0" quotePrefix="0" xfId="0">
      <alignment horizontal="center" vertical="center"/>
    </xf>
    <xf numFmtId="0" fontId="5" fillId="23" borderId="2" pivotButton="0" quotePrefix="0" xfId="0"/>
    <xf numFmtId="0" fontId="5" fillId="26" borderId="2" pivotButton="0" quotePrefix="0" xfId="0"/>
    <xf numFmtId="0" fontId="5" fillId="25" borderId="2" pivotButton="0" quotePrefix="0" xfId="0"/>
    <xf numFmtId="0" fontId="14" fillId="8" borderId="2" applyAlignment="1" pivotButton="0" quotePrefix="0" xfId="0">
      <alignment horizontal="left" vertical="center" indent="1"/>
    </xf>
    <xf numFmtId="0" fontId="14" fillId="8" borderId="1" applyAlignment="1" pivotButton="0" quotePrefix="0" xfId="0">
      <alignment horizontal="left" vertical="center" indent="1"/>
    </xf>
    <xf numFmtId="9" fontId="13" fillId="8" borderId="16" applyAlignment="1" pivotButton="0" quotePrefix="0" xfId="1">
      <alignment horizontal="center" vertical="center"/>
    </xf>
    <xf numFmtId="0" fontId="14" fillId="0" borderId="19" applyAlignment="1" pivotButton="0" quotePrefix="0" xfId="0">
      <alignment horizontal="left" vertical="center" indent="1"/>
    </xf>
    <xf numFmtId="166" fontId="14" fillId="0" borderId="37" applyAlignment="1" pivotButton="0" quotePrefix="0" xfId="0">
      <alignment horizontal="center" vertical="center"/>
    </xf>
    <xf numFmtId="166" fontId="14" fillId="13" borderId="22" applyAlignment="1" pivotButton="0" quotePrefix="0" xfId="0">
      <alignment horizontal="center" vertical="center"/>
    </xf>
    <xf numFmtId="1" fontId="14" fillId="9" borderId="19" applyAlignment="1" pivotButton="0" quotePrefix="0" xfId="0">
      <alignment horizontal="center" vertical="center"/>
    </xf>
    <xf numFmtId="9" fontId="13" fillId="0" borderId="20" applyAlignment="1" pivotButton="0" quotePrefix="0" xfId="1">
      <alignment horizontal="center" vertical="center"/>
    </xf>
    <xf numFmtId="0" fontId="5" fillId="26" borderId="19" pivotButton="0" quotePrefix="0" xfId="0"/>
    <xf numFmtId="0" fontId="5" fillId="26" borderId="18" pivotButton="0" quotePrefix="0" xfId="0"/>
    <xf numFmtId="0" fontId="5" fillId="25" borderId="19" pivotButton="0" quotePrefix="0" xfId="0"/>
    <xf numFmtId="0" fontId="5" fillId="25" borderId="18" pivotButton="0" quotePrefix="0" xfId="0"/>
    <xf numFmtId="0" fontId="14" fillId="0" borderId="0" pivotButton="0" quotePrefix="0" xfId="0"/>
    <xf numFmtId="166" fontId="14" fillId="0" borderId="0" pivotButton="0" quotePrefix="0" xfId="0"/>
    <xf numFmtId="1" fontId="14" fillId="0" borderId="0" pivotButton="0" quotePrefix="0" xfId="0"/>
    <xf numFmtId="9" fontId="13" fillId="0" borderId="0" pivotButton="0" quotePrefix="0" xfId="0"/>
    <xf numFmtId="0" fontId="0" fillId="27" borderId="0" pivotButton="0" quotePrefix="0" xfId="0"/>
    <xf numFmtId="0" fontId="13" fillId="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6" borderId="0" pivotButton="0" quotePrefix="0" xfId="0"/>
    <xf numFmtId="0" fontId="12" fillId="0" borderId="0" pivotButton="0" quotePrefix="0" xfId="0"/>
    <xf numFmtId="0" fontId="0" fillId="25" borderId="0" pivotButton="0" quotePrefix="0" xfId="0"/>
    <xf numFmtId="0" fontId="15" fillId="0" borderId="0" pivotButton="0" quotePrefix="0" xfId="0"/>
  </cellXfs>
  <cellStyles count="3">
    <cellStyle name="Normal" xfId="0" builtinId="0"/>
    <cellStyle name="Porcentaje" xfId="1" builtinId="5"/>
    <cellStyle name="Normal 2" xfId="2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B1:CP54"/>
  <sheetViews>
    <sheetView showGridLines="0" tabSelected="1" workbookViewId="0">
      <selection activeCell="E8" sqref="E8"/>
    </sheetView>
  </sheetViews>
  <sheetFormatPr baseColWidth="10" defaultColWidth="10.84375" defaultRowHeight="15.5"/>
  <cols>
    <col width="2.4609375" customWidth="1" min="1" max="1"/>
    <col width="14.15234375" customWidth="1" min="2" max="2"/>
    <col width="30.3046875" customWidth="1" min="3" max="3"/>
    <col width="11.69140625" customWidth="1" min="4" max="4"/>
    <col width="9.84375" customWidth="1" min="5" max="7"/>
    <col width="14.4609375" customWidth="1" min="8" max="8"/>
    <col width="3.3046875" customWidth="1" min="9" max="93"/>
    <col width="1.3046875" customWidth="1" min="94" max="94"/>
  </cols>
  <sheetData>
    <row r="1" ht="50" customFormat="1" customHeight="1" s="34">
      <c r="B1" s="35" t="inlineStr">
        <is>
          <t>Gestión de Proyecto con Carta Gantt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  <c r="Q1" s="36" t="n"/>
      <c r="R1" s="36" t="n"/>
      <c r="S1" s="36" t="n"/>
    </row>
    <row r="2" ht="35" customFormat="1" customHeight="1" s="1">
      <c r="B2" s="61" t="inlineStr">
        <is>
          <t>Nombre del Proyecto</t>
        </is>
      </c>
      <c r="C2" s="113" t="inlineStr">
        <is>
          <t>Velvet Wallet — Aplicación móvil de finanzas personales consumidora del Sistema de Finanzas Abiertas (SFA)</t>
        </is>
      </c>
    </row>
    <row r="3" ht="23.5" customFormat="1" customHeight="1" s="1" thickBot="1">
      <c r="B3" s="64" t="inlineStr">
        <is>
          <t>Director(a) del Proyecto</t>
        </is>
      </c>
      <c r="C3" s="114" t="inlineStr">
        <is>
          <t>Jossue Padrón · Pedro Torres</t>
        </is>
      </c>
    </row>
    <row r="4" ht="23.5" customFormat="1" customHeight="1" s="1" thickTop="1">
      <c r="B4" s="63" t="inlineStr">
        <is>
          <t>Nombre Empresa Cliente</t>
        </is>
      </c>
      <c r="C4" s="115" t="inlineStr">
        <is>
          <t>Duoc UC — Capstone APT122 (proyecto académico, sin empresa cliente)</t>
        </is>
      </c>
    </row>
    <row r="5" ht="16" customFormat="1" customHeight="1" s="1">
      <c r="B5" s="62" t="inlineStr">
        <is>
          <t>Fecha</t>
        </is>
      </c>
      <c r="C5" s="116" t="n">
        <v>46260</v>
      </c>
    </row>
    <row r="6" ht="18" customFormat="1" customHeight="1" s="1" thickBot="1">
      <c r="B6" s="2" t="n"/>
    </row>
    <row r="7" ht="20" customHeight="1" thickBot="1">
      <c r="B7" s="4" t="n"/>
      <c r="C7" s="5" t="n"/>
      <c r="D7" s="5" t="n"/>
      <c r="E7" s="5" t="n"/>
      <c r="F7" s="5" t="n"/>
      <c r="G7" s="5" t="n"/>
      <c r="H7" s="5" t="n"/>
      <c r="I7" s="117" t="inlineStr">
        <is>
          <t>FASE 1 — DEFINICIÓN DEL PROYECTO</t>
        </is>
      </c>
      <c r="J7" s="118" t="n"/>
      <c r="K7" s="118" t="n"/>
      <c r="L7" s="118" t="n"/>
      <c r="M7" s="118" t="n"/>
      <c r="N7" s="118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8" t="n"/>
      <c r="Z7" s="118" t="n"/>
      <c r="AA7" s="118" t="n"/>
      <c r="AB7" s="119" t="n"/>
      <c r="AC7" s="120" t="inlineStr">
        <is>
          <t>FASE 2 — DESARROLLO</t>
        </is>
      </c>
      <c r="AD7" s="118" t="n"/>
      <c r="AE7" s="118" t="n"/>
      <c r="AF7" s="118" t="n"/>
      <c r="AG7" s="118" t="n"/>
      <c r="AH7" s="118" t="n"/>
      <c r="AI7" s="118" t="n"/>
      <c r="AJ7" s="118" t="n"/>
      <c r="AK7" s="118" t="n"/>
      <c r="AL7" s="118" t="n"/>
      <c r="AM7" s="118" t="n"/>
      <c r="AN7" s="118" t="n"/>
      <c r="AO7" s="118" t="n"/>
      <c r="AP7" s="118" t="n"/>
      <c r="AQ7" s="118" t="n"/>
      <c r="AR7" s="118" t="n"/>
      <c r="AS7" s="118" t="n"/>
      <c r="AT7" s="118" t="n"/>
      <c r="AU7" s="118" t="n"/>
      <c r="AV7" s="119" t="n"/>
      <c r="AW7" s="121" t="inlineStr">
        <is>
          <t>FASE 2 — DESARROLLO</t>
        </is>
      </c>
      <c r="AX7" s="118" t="n"/>
      <c r="AY7" s="118" t="n"/>
      <c r="AZ7" s="118" t="n"/>
      <c r="BA7" s="118" t="n"/>
      <c r="BB7" s="118" t="n"/>
      <c r="BC7" s="118" t="n"/>
      <c r="BD7" s="118" t="n"/>
      <c r="BE7" s="118" t="n"/>
      <c r="BF7" s="118" t="n"/>
      <c r="BG7" s="118" t="n"/>
      <c r="BH7" s="118" t="n"/>
      <c r="BI7" s="118" t="n"/>
      <c r="BJ7" s="118" t="n"/>
      <c r="BK7" s="118" t="n"/>
      <c r="BL7" s="118" t="n"/>
      <c r="BM7" s="118" t="n"/>
      <c r="BN7" s="118" t="n"/>
      <c r="BO7" s="118" t="n"/>
      <c r="BP7" s="119" t="n"/>
      <c r="BQ7" s="122" t="inlineStr">
        <is>
          <t>FASE 2 — DESARROLLO  /  FASE 3 — CIERRE</t>
        </is>
      </c>
      <c r="BR7" s="118" t="n"/>
      <c r="BS7" s="118" t="n"/>
      <c r="BT7" s="118" t="n"/>
      <c r="BU7" s="118" t="n"/>
      <c r="BV7" s="118" t="n"/>
      <c r="BW7" s="118" t="n"/>
      <c r="BX7" s="118" t="n"/>
      <c r="BY7" s="118" t="n"/>
      <c r="BZ7" s="118" t="n"/>
      <c r="CA7" s="118" t="n"/>
      <c r="CB7" s="118" t="n"/>
      <c r="CC7" s="118" t="n"/>
      <c r="CD7" s="118" t="n"/>
      <c r="CE7" s="118" t="n"/>
      <c r="CF7" s="118" t="n"/>
      <c r="CG7" s="118" t="n"/>
      <c r="CH7" s="118" t="n"/>
      <c r="CI7" s="118" t="n"/>
      <c r="CJ7" s="119" t="n"/>
      <c r="CK7" s="108" t="inlineStr">
        <is>
          <t>PRESENTACIÓN</t>
        </is>
      </c>
      <c r="CL7" s="118" t="n"/>
      <c r="CM7" s="118" t="n"/>
      <c r="CN7" s="118" t="n"/>
      <c r="CO7" s="118" t="n"/>
      <c r="CP7" s="83" t="n"/>
    </row>
    <row r="8" ht="24" customHeight="1">
      <c r="B8" s="6" t="inlineStr">
        <is>
          <t>IDENTIFICADOR</t>
        </is>
      </c>
      <c r="C8" s="7" t="inlineStr">
        <is>
          <t>NOMBRE</t>
        </is>
      </c>
      <c r="D8" s="7" t="inlineStr">
        <is>
          <t>DUEÑO DE</t>
        </is>
      </c>
      <c r="E8" s="77" t="inlineStr">
        <is>
          <t>FECHA DE</t>
        </is>
      </c>
      <c r="F8" s="78" t="inlineStr">
        <is>
          <t>FECHA DE</t>
        </is>
      </c>
      <c r="G8" s="8" t="inlineStr">
        <is>
          <t>DURACIÓN</t>
        </is>
      </c>
      <c r="H8" s="53" t="inlineStr">
        <is>
          <t>PORCENTAJE COMPLETADO</t>
        </is>
      </c>
      <c r="I8" s="89" t="inlineStr">
        <is>
          <t>SEMANA 1</t>
        </is>
      </c>
      <c r="J8" s="123" t="n"/>
      <c r="K8" s="123" t="n"/>
      <c r="L8" s="123" t="n"/>
      <c r="M8" s="124" t="n"/>
      <c r="N8" s="89" t="inlineStr">
        <is>
          <t>SEMANA 2</t>
        </is>
      </c>
      <c r="O8" s="123" t="n"/>
      <c r="P8" s="123" t="n"/>
      <c r="Q8" s="123" t="n"/>
      <c r="R8" s="124" t="n"/>
      <c r="S8" s="89" t="inlineStr">
        <is>
          <t>SEMANA 3</t>
        </is>
      </c>
      <c r="T8" s="123" t="n"/>
      <c r="U8" s="123" t="n"/>
      <c r="V8" s="123" t="n"/>
      <c r="W8" s="124" t="n"/>
      <c r="X8" s="89" t="inlineStr">
        <is>
          <t>SEMANA 4</t>
        </is>
      </c>
      <c r="Y8" s="123" t="n"/>
      <c r="Z8" s="123" t="n"/>
      <c r="AA8" s="123" t="n"/>
      <c r="AB8" s="124" t="n"/>
      <c r="AC8" s="91" t="inlineStr">
        <is>
          <t>SEMANA 5</t>
        </is>
      </c>
      <c r="AD8" s="123" t="n"/>
      <c r="AE8" s="123" t="n"/>
      <c r="AF8" s="123" t="n"/>
      <c r="AG8" s="124" t="n"/>
      <c r="AH8" s="91" t="inlineStr">
        <is>
          <t>SEMANA 6</t>
        </is>
      </c>
      <c r="AI8" s="123" t="n"/>
      <c r="AJ8" s="123" t="n"/>
      <c r="AK8" s="123" t="n"/>
      <c r="AL8" s="124" t="n"/>
      <c r="AM8" s="91" t="inlineStr">
        <is>
          <t>SEMANA 7</t>
        </is>
      </c>
      <c r="AN8" s="123" t="n"/>
      <c r="AO8" s="123" t="n"/>
      <c r="AP8" s="123" t="n"/>
      <c r="AQ8" s="124" t="n"/>
      <c r="AR8" s="91" t="inlineStr">
        <is>
          <t>SEMANA 8</t>
        </is>
      </c>
      <c r="AS8" s="123" t="n"/>
      <c r="AT8" s="123" t="n"/>
      <c r="AU8" s="123" t="n"/>
      <c r="AV8" s="124" t="n"/>
      <c r="AW8" s="85" t="inlineStr">
        <is>
          <t>SEMANA 9</t>
        </is>
      </c>
      <c r="AX8" s="123" t="n"/>
      <c r="AY8" s="123" t="n"/>
      <c r="AZ8" s="123" t="n"/>
      <c r="BA8" s="124" t="n"/>
      <c r="BB8" s="85" t="inlineStr">
        <is>
          <t>SEMANA 10</t>
        </is>
      </c>
      <c r="BC8" s="123" t="n"/>
      <c r="BD8" s="123" t="n"/>
      <c r="BE8" s="123" t="n"/>
      <c r="BF8" s="124" t="n"/>
      <c r="BG8" s="85" t="inlineStr">
        <is>
          <t>SEMANA 11</t>
        </is>
      </c>
      <c r="BH8" s="123" t="n"/>
      <c r="BI8" s="123" t="n"/>
      <c r="BJ8" s="123" t="n"/>
      <c r="BK8" s="124" t="n"/>
      <c r="BL8" s="85" t="inlineStr">
        <is>
          <t>SEMANA 12</t>
        </is>
      </c>
      <c r="BM8" s="123" t="n"/>
      <c r="BN8" s="123" t="n"/>
      <c r="BO8" s="123" t="n"/>
      <c r="BP8" s="124" t="n"/>
      <c r="BQ8" s="87" t="inlineStr">
        <is>
          <t>SEMANA 13</t>
        </is>
      </c>
      <c r="BR8" s="123" t="n"/>
      <c r="BS8" s="123" t="n"/>
      <c r="BT8" s="123" t="n"/>
      <c r="BU8" s="124" t="n"/>
      <c r="BV8" s="87" t="inlineStr">
        <is>
          <t>SEMANA 14</t>
        </is>
      </c>
      <c r="BW8" s="123" t="n"/>
      <c r="BX8" s="123" t="n"/>
      <c r="BY8" s="123" t="n"/>
      <c r="BZ8" s="124" t="n"/>
      <c r="CA8" s="87" t="inlineStr">
        <is>
          <t>SEMANA 15</t>
        </is>
      </c>
      <c r="CB8" s="123" t="n"/>
      <c r="CC8" s="123" t="n"/>
      <c r="CD8" s="123" t="n"/>
      <c r="CE8" s="124" t="n"/>
      <c r="CF8" s="125" t="inlineStr">
        <is>
          <t>SEMANA 16</t>
        </is>
      </c>
      <c r="CG8" s="123" t="n"/>
      <c r="CH8" s="123" t="n"/>
      <c r="CI8" s="123" t="n"/>
      <c r="CJ8" s="126" t="n"/>
      <c r="CK8" s="127" t="inlineStr">
        <is>
          <t>SEMANA 17</t>
        </is>
      </c>
      <c r="CL8" s="123" t="n"/>
      <c r="CM8" s="123" t="n"/>
      <c r="CN8" s="123" t="n"/>
      <c r="CO8" s="126" t="n"/>
      <c r="CP8" s="84" t="n"/>
    </row>
    <row r="9" ht="20" customHeight="1" thickBot="1">
      <c r="B9" s="9" t="inlineStr">
        <is>
          <t>TAREA</t>
        </is>
      </c>
      <c r="C9" s="10" t="inlineStr">
        <is>
          <t>TAREA</t>
        </is>
      </c>
      <c r="D9" s="10" t="inlineStr">
        <is>
          <t>LA TAREA</t>
        </is>
      </c>
      <c r="E9" s="79" t="inlineStr">
        <is>
          <t>INICIO</t>
        </is>
      </c>
      <c r="F9" s="80" t="inlineStr">
        <is>
          <t>TÉRMINO</t>
        </is>
      </c>
      <c r="G9" s="11" t="inlineStr">
        <is>
          <t>EN DÍAS</t>
        </is>
      </c>
      <c r="H9" s="54" t="inlineStr">
        <is>
          <t>DE LA TAREA</t>
        </is>
      </c>
      <c r="I9" s="12" t="inlineStr">
        <is>
          <t>L</t>
        </is>
      </c>
      <c r="J9" s="13" t="inlineStr">
        <is>
          <t>MA</t>
        </is>
      </c>
      <c r="K9" s="13" t="inlineStr">
        <is>
          <t>MI</t>
        </is>
      </c>
      <c r="L9" s="13" t="inlineStr">
        <is>
          <t>J</t>
        </is>
      </c>
      <c r="M9" s="13" t="inlineStr">
        <is>
          <t>V</t>
        </is>
      </c>
      <c r="N9" s="12" t="inlineStr">
        <is>
          <t>L</t>
        </is>
      </c>
      <c r="O9" s="13" t="inlineStr">
        <is>
          <t>MA</t>
        </is>
      </c>
      <c r="P9" s="13" t="inlineStr">
        <is>
          <t>MI</t>
        </is>
      </c>
      <c r="Q9" s="13" t="inlineStr">
        <is>
          <t>J</t>
        </is>
      </c>
      <c r="R9" s="13" t="inlineStr">
        <is>
          <t>V</t>
        </is>
      </c>
      <c r="S9" s="12" t="inlineStr">
        <is>
          <t>L</t>
        </is>
      </c>
      <c r="T9" s="13" t="inlineStr">
        <is>
          <t>MA</t>
        </is>
      </c>
      <c r="U9" s="13" t="inlineStr">
        <is>
          <t>MI</t>
        </is>
      </c>
      <c r="V9" s="13" t="inlineStr">
        <is>
          <t>J</t>
        </is>
      </c>
      <c r="W9" s="13" t="inlineStr">
        <is>
          <t>V</t>
        </is>
      </c>
      <c r="X9" s="12" t="inlineStr">
        <is>
          <t>L</t>
        </is>
      </c>
      <c r="Y9" s="13" t="inlineStr">
        <is>
          <t>MA</t>
        </is>
      </c>
      <c r="Z9" s="13" t="inlineStr">
        <is>
          <t>MI</t>
        </is>
      </c>
      <c r="AA9" s="13" t="inlineStr">
        <is>
          <t>J</t>
        </is>
      </c>
      <c r="AB9" s="13" t="inlineStr">
        <is>
          <t>V</t>
        </is>
      </c>
      <c r="AC9" s="14" t="inlineStr">
        <is>
          <t>L</t>
        </is>
      </c>
      <c r="AD9" s="15" t="inlineStr">
        <is>
          <t>MA</t>
        </is>
      </c>
      <c r="AE9" s="15" t="inlineStr">
        <is>
          <t>MI</t>
        </is>
      </c>
      <c r="AF9" s="15" t="inlineStr">
        <is>
          <t>J</t>
        </is>
      </c>
      <c r="AG9" s="15" t="inlineStr">
        <is>
          <t>V</t>
        </is>
      </c>
      <c r="AH9" s="14" t="inlineStr">
        <is>
          <t>L</t>
        </is>
      </c>
      <c r="AI9" s="15" t="inlineStr">
        <is>
          <t>MA</t>
        </is>
      </c>
      <c r="AJ9" s="15" t="inlineStr">
        <is>
          <t>MI</t>
        </is>
      </c>
      <c r="AK9" s="15" t="inlineStr">
        <is>
          <t>J</t>
        </is>
      </c>
      <c r="AL9" s="15" t="inlineStr">
        <is>
          <t>V</t>
        </is>
      </c>
      <c r="AM9" s="14" t="inlineStr">
        <is>
          <t>L</t>
        </is>
      </c>
      <c r="AN9" s="15" t="inlineStr">
        <is>
          <t>MA</t>
        </is>
      </c>
      <c r="AO9" s="15" t="inlineStr">
        <is>
          <t>MI</t>
        </is>
      </c>
      <c r="AP9" s="15" t="inlineStr">
        <is>
          <t>J</t>
        </is>
      </c>
      <c r="AQ9" s="15" t="inlineStr">
        <is>
          <t>V</t>
        </is>
      </c>
      <c r="AR9" s="14" t="inlineStr">
        <is>
          <t>L</t>
        </is>
      </c>
      <c r="AS9" s="15" t="inlineStr">
        <is>
          <t>MA</t>
        </is>
      </c>
      <c r="AT9" s="15" t="inlineStr">
        <is>
          <t>MI</t>
        </is>
      </c>
      <c r="AU9" s="15" t="inlineStr">
        <is>
          <t>J</t>
        </is>
      </c>
      <c r="AV9" s="15" t="inlineStr">
        <is>
          <t>V</t>
        </is>
      </c>
      <c r="AW9" s="30" t="inlineStr">
        <is>
          <t>L</t>
        </is>
      </c>
      <c r="AX9" s="31" t="inlineStr">
        <is>
          <t>MA</t>
        </is>
      </c>
      <c r="AY9" s="31" t="inlineStr">
        <is>
          <t>MI</t>
        </is>
      </c>
      <c r="AZ9" s="31" t="inlineStr">
        <is>
          <t>J</t>
        </is>
      </c>
      <c r="BA9" s="31" t="inlineStr">
        <is>
          <t>V</t>
        </is>
      </c>
      <c r="BB9" s="30" t="inlineStr">
        <is>
          <t>L</t>
        </is>
      </c>
      <c r="BC9" s="31" t="inlineStr">
        <is>
          <t>MA</t>
        </is>
      </c>
      <c r="BD9" s="31" t="inlineStr">
        <is>
          <t>MI</t>
        </is>
      </c>
      <c r="BE9" s="31" t="inlineStr">
        <is>
          <t>J</t>
        </is>
      </c>
      <c r="BF9" s="31" t="inlineStr">
        <is>
          <t>V</t>
        </is>
      </c>
      <c r="BG9" s="30" t="inlineStr">
        <is>
          <t>L</t>
        </is>
      </c>
      <c r="BH9" s="31" t="inlineStr">
        <is>
          <t>MA</t>
        </is>
      </c>
      <c r="BI9" s="31" t="inlineStr">
        <is>
          <t>MI</t>
        </is>
      </c>
      <c r="BJ9" s="31" t="inlineStr">
        <is>
          <t>J</t>
        </is>
      </c>
      <c r="BK9" s="31" t="inlineStr">
        <is>
          <t>V</t>
        </is>
      </c>
      <c r="BL9" s="30" t="inlineStr">
        <is>
          <t>L</t>
        </is>
      </c>
      <c r="BM9" s="31" t="inlineStr">
        <is>
          <t>MA</t>
        </is>
      </c>
      <c r="BN9" s="31" t="inlineStr">
        <is>
          <t>MI</t>
        </is>
      </c>
      <c r="BO9" s="31" t="inlineStr">
        <is>
          <t>J</t>
        </is>
      </c>
      <c r="BP9" s="31" t="inlineStr">
        <is>
          <t>V</t>
        </is>
      </c>
      <c r="BQ9" s="16" t="inlineStr">
        <is>
          <t>L</t>
        </is>
      </c>
      <c r="BR9" s="17" t="inlineStr">
        <is>
          <t>MA</t>
        </is>
      </c>
      <c r="BS9" s="17" t="inlineStr">
        <is>
          <t>MI</t>
        </is>
      </c>
      <c r="BT9" s="17" t="inlineStr">
        <is>
          <t>J</t>
        </is>
      </c>
      <c r="BU9" s="17" t="inlineStr">
        <is>
          <t>V</t>
        </is>
      </c>
      <c r="BV9" s="16" t="inlineStr">
        <is>
          <t>L</t>
        </is>
      </c>
      <c r="BW9" s="17" t="inlineStr">
        <is>
          <t>MA</t>
        </is>
      </c>
      <c r="BX9" s="17" t="inlineStr">
        <is>
          <t>MI</t>
        </is>
      </c>
      <c r="BY9" s="17" t="inlineStr">
        <is>
          <t>J</t>
        </is>
      </c>
      <c r="BZ9" s="17" t="inlineStr">
        <is>
          <t>V</t>
        </is>
      </c>
      <c r="CA9" s="16" t="inlineStr">
        <is>
          <t>L</t>
        </is>
      </c>
      <c r="CB9" s="17" t="inlineStr">
        <is>
          <t>MA</t>
        </is>
      </c>
      <c r="CC9" s="17" t="inlineStr">
        <is>
          <t>MI</t>
        </is>
      </c>
      <c r="CD9" s="17" t="inlineStr">
        <is>
          <t>J</t>
        </is>
      </c>
      <c r="CE9" s="17" t="inlineStr">
        <is>
          <t>V</t>
        </is>
      </c>
      <c r="CF9" s="16" t="inlineStr">
        <is>
          <t>L</t>
        </is>
      </c>
      <c r="CG9" s="17" t="inlineStr">
        <is>
          <t>MA</t>
        </is>
      </c>
      <c r="CH9" s="17" t="inlineStr">
        <is>
          <t>MI</t>
        </is>
      </c>
      <c r="CI9" s="17" t="inlineStr">
        <is>
          <t>J</t>
        </is>
      </c>
      <c r="CJ9" s="17" t="inlineStr">
        <is>
          <t>V</t>
        </is>
      </c>
      <c r="CK9" s="81" t="inlineStr">
        <is>
          <t>L</t>
        </is>
      </c>
      <c r="CL9" s="82" t="inlineStr">
        <is>
          <t>MA</t>
        </is>
      </c>
      <c r="CM9" s="82" t="inlineStr">
        <is>
          <t>MI</t>
        </is>
      </c>
      <c r="CN9" s="82" t="inlineStr">
        <is>
          <t>J</t>
        </is>
      </c>
      <c r="CO9" s="82" t="inlineStr">
        <is>
          <t>V</t>
        </is>
      </c>
      <c r="CP9" s="81" t="n"/>
    </row>
    <row r="10" ht="20" customHeight="1" thickTop="1">
      <c r="B10" s="128" t="inlineStr">
        <is>
          <t>1</t>
        </is>
      </c>
      <c r="C10" s="129" t="inlineStr">
        <is>
          <t>FASE 1 — DEFINICIÓN DEL PROYECTO APT</t>
        </is>
      </c>
      <c r="D10" s="130" t="inlineStr"/>
      <c r="E10" s="131" t="n">
        <v>46244</v>
      </c>
      <c r="F10" s="132" t="n">
        <v>46269</v>
      </c>
      <c r="G10" s="133">
        <f>IF(F10-E10=0,"",F10-E10)</f>
        <v/>
      </c>
      <c r="H10" s="55" t="n"/>
      <c r="I10" s="134" t="n"/>
      <c r="J10" s="135" t="n"/>
      <c r="K10" s="135" t="n"/>
      <c r="L10" s="135" t="n"/>
      <c r="M10" s="135" t="n"/>
      <c r="N10" s="135" t="n"/>
      <c r="O10" s="135" t="n"/>
      <c r="P10" s="135" t="n"/>
      <c r="Q10" s="135" t="n"/>
      <c r="R10" s="135" t="n"/>
      <c r="S10" s="135" t="n"/>
      <c r="T10" s="135" t="n"/>
      <c r="U10" s="135" t="n"/>
      <c r="V10" s="135" t="n"/>
      <c r="W10" s="135" t="n"/>
      <c r="X10" s="135" t="n"/>
      <c r="Y10" s="135" t="n"/>
      <c r="Z10" s="135" t="n"/>
      <c r="AA10" s="135" t="n"/>
      <c r="AB10" s="135" t="n"/>
      <c r="AC10" s="20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0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0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0" t="n"/>
      <c r="CL10" s="21" t="n"/>
      <c r="CM10" s="21" t="n"/>
      <c r="CN10" s="21" t="n"/>
      <c r="CO10" s="21" t="n"/>
      <c r="CP10" s="20" t="n"/>
    </row>
    <row r="11" ht="20" customHeight="1">
      <c r="B11" s="136" t="inlineStr">
        <is>
          <t>1.1</t>
        </is>
      </c>
      <c r="C11" s="137" t="inlineStr">
        <is>
          <t>Alcance, objetivos y análisis de factibilidad</t>
        </is>
      </c>
      <c r="D11" s="138" t="inlineStr">
        <is>
          <t>Ambos</t>
        </is>
      </c>
      <c r="E11" s="139" t="n">
        <v>46244</v>
      </c>
      <c r="F11" s="140" t="n">
        <v>46255</v>
      </c>
      <c r="G11" s="141">
        <f>IF(F11-E11=0,"",F11-E11)</f>
        <v/>
      </c>
      <c r="H11" s="142" t="n">
        <v>1</v>
      </c>
      <c r="I11" s="143" t="n"/>
      <c r="J11" s="144" t="n"/>
      <c r="K11" s="144" t="n"/>
      <c r="L11" s="144" t="n"/>
      <c r="M11" s="144" t="n"/>
      <c r="N11" s="144" t="n"/>
      <c r="O11" s="144" t="n"/>
      <c r="P11" s="144" t="n"/>
      <c r="Q11" s="144" t="n"/>
      <c r="R11" s="144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0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0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0" t="n"/>
      <c r="CL11" s="21" t="n"/>
      <c r="CM11" s="21" t="n"/>
      <c r="CN11" s="21" t="n"/>
      <c r="CO11" s="21" t="n"/>
      <c r="CP11" s="20" t="n"/>
    </row>
    <row r="12" ht="20" customHeight="1">
      <c r="B12" s="136" t="inlineStr">
        <is>
          <t>1.2</t>
        </is>
      </c>
      <c r="C12" s="145" t="inlineStr">
        <is>
          <t>Requisitos funcionales preliminares</t>
        </is>
      </c>
      <c r="D12" s="146" t="inlineStr">
        <is>
          <t>Pedro</t>
        </is>
      </c>
      <c r="E12" s="139" t="n">
        <v>46251</v>
      </c>
      <c r="F12" s="140" t="n">
        <v>46262</v>
      </c>
      <c r="G12" s="141">
        <f>IF(F12-E12=0,"",F12-E12)</f>
        <v/>
      </c>
      <c r="H12" s="142" t="n">
        <v>1</v>
      </c>
      <c r="I12" s="51" t="n"/>
      <c r="J12" s="21" t="n"/>
      <c r="K12" s="21" t="n"/>
      <c r="L12" s="21" t="n"/>
      <c r="M12" s="21" t="n"/>
      <c r="N12" s="147" t="n"/>
      <c r="O12" s="147" t="n"/>
      <c r="P12" s="147" t="n"/>
      <c r="Q12" s="147" t="n"/>
      <c r="R12" s="147" t="n"/>
      <c r="S12" s="147" t="n"/>
      <c r="T12" s="147" t="n"/>
      <c r="U12" s="147" t="n"/>
      <c r="V12" s="147" t="n"/>
      <c r="W12" s="147" t="n"/>
      <c r="X12" s="21" t="n"/>
      <c r="Y12" s="21" t="n"/>
      <c r="Z12" s="21" t="n"/>
      <c r="AA12" s="21" t="n"/>
      <c r="AB12" s="21" t="n"/>
      <c r="AC12" s="20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0" t="n"/>
      <c r="AX12" s="21" t="n"/>
      <c r="AY12" s="21" t="n"/>
      <c r="AZ12" s="21" t="n"/>
      <c r="BA12" s="21" t="n"/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/>
      <c r="BL12" s="21" t="n"/>
      <c r="BM12" s="21" t="n"/>
      <c r="BN12" s="21" t="n"/>
      <c r="BO12" s="21" t="n"/>
      <c r="BP12" s="21" t="n"/>
      <c r="BQ12" s="20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  <c r="CA12" s="21" t="n"/>
      <c r="CB12" s="21" t="n"/>
      <c r="CC12" s="21" t="n"/>
      <c r="CD12" s="21" t="n"/>
      <c r="CE12" s="21" t="n"/>
      <c r="CF12" s="21" t="n"/>
      <c r="CG12" s="21" t="n"/>
      <c r="CH12" s="21" t="n"/>
      <c r="CI12" s="21" t="n"/>
      <c r="CJ12" s="21" t="n"/>
      <c r="CK12" s="20" t="n"/>
      <c r="CL12" s="21" t="n"/>
      <c r="CM12" s="21" t="n"/>
      <c r="CN12" s="21" t="n"/>
      <c r="CO12" s="21" t="n"/>
      <c r="CP12" s="20" t="n"/>
    </row>
    <row r="13" ht="20" customHeight="1">
      <c r="B13" s="136" t="inlineStr">
        <is>
          <t>1.3</t>
        </is>
      </c>
      <c r="C13" s="137" t="inlineStr">
        <is>
          <t>Requisitos no funcionales preliminares</t>
        </is>
      </c>
      <c r="D13" s="138" t="inlineStr">
        <is>
          <t>Jossue</t>
        </is>
      </c>
      <c r="E13" s="139" t="n">
        <v>46251</v>
      </c>
      <c r="F13" s="140" t="n">
        <v>46262</v>
      </c>
      <c r="G13" s="141">
        <f>IF(F13-E13=0,"",F13-E13)</f>
        <v/>
      </c>
      <c r="H13" s="142" t="n">
        <v>0</v>
      </c>
      <c r="I13" s="51" t="n"/>
      <c r="J13" s="21" t="n"/>
      <c r="K13" s="21" t="n"/>
      <c r="L13" s="21" t="n"/>
      <c r="M13" s="21" t="n"/>
      <c r="N13" s="148" t="n"/>
      <c r="O13" s="148" t="n"/>
      <c r="P13" s="148" t="n"/>
      <c r="Q13" s="148" t="n"/>
      <c r="R13" s="148" t="n"/>
      <c r="S13" s="148" t="n"/>
      <c r="T13" s="148" t="n"/>
      <c r="U13" s="148" t="n"/>
      <c r="V13" s="148" t="n"/>
      <c r="W13" s="148" t="n"/>
      <c r="X13" s="21" t="n"/>
      <c r="Y13" s="21" t="n"/>
      <c r="Z13" s="21" t="n"/>
      <c r="AA13" s="21" t="n"/>
      <c r="AB13" s="21" t="n"/>
      <c r="AC13" s="20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0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/>
      <c r="BL13" s="21" t="n"/>
      <c r="BM13" s="21" t="n"/>
      <c r="BN13" s="21" t="n"/>
      <c r="BO13" s="21" t="n"/>
      <c r="BP13" s="21" t="n"/>
      <c r="BQ13" s="20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  <c r="CA13" s="21" t="n"/>
      <c r="CB13" s="21" t="n"/>
      <c r="CC13" s="21" t="n"/>
      <c r="CD13" s="21" t="n"/>
      <c r="CE13" s="21" t="n"/>
      <c r="CF13" s="21" t="n"/>
      <c r="CG13" s="21" t="n"/>
      <c r="CH13" s="21" t="n"/>
      <c r="CI13" s="21" t="n"/>
      <c r="CJ13" s="21" t="n"/>
      <c r="CK13" s="20" t="n"/>
      <c r="CL13" s="21" t="n"/>
      <c r="CM13" s="21" t="n"/>
      <c r="CN13" s="21" t="n"/>
      <c r="CO13" s="21" t="n"/>
      <c r="CP13" s="20" t="n"/>
    </row>
    <row r="14" ht="20" customHeight="1">
      <c r="B14" s="136" t="inlineStr">
        <is>
          <t>1.4</t>
        </is>
      </c>
      <c r="C14" s="137" t="inlineStr">
        <is>
          <t>Esquema preliminar de bases de datos</t>
        </is>
      </c>
      <c r="D14" s="138" t="inlineStr">
        <is>
          <t>Pedro</t>
        </is>
      </c>
      <c r="E14" s="139" t="n">
        <v>46258</v>
      </c>
      <c r="F14" s="140" t="n">
        <v>46262</v>
      </c>
      <c r="G14" s="141">
        <f>IF(F14-E14=0,"",F14-E14)</f>
        <v/>
      </c>
      <c r="H14" s="142" t="n">
        <v>0</v>
      </c>
      <c r="I14" s="5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147" t="n"/>
      <c r="T14" s="147" t="n"/>
      <c r="U14" s="147" t="n"/>
      <c r="V14" s="147" t="n"/>
      <c r="W14" s="147" t="n"/>
      <c r="X14" s="21" t="n"/>
      <c r="Y14" s="21" t="n"/>
      <c r="Z14" s="21" t="n"/>
      <c r="AA14" s="21" t="n"/>
      <c r="AB14" s="21" t="n"/>
      <c r="AC14" s="20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0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0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0" t="n"/>
      <c r="CL14" s="21" t="n"/>
      <c r="CM14" s="21" t="n"/>
      <c r="CN14" s="21" t="n"/>
      <c r="CO14" s="21" t="n"/>
      <c r="CP14" s="20" t="n"/>
    </row>
    <row r="15" ht="20" customHeight="1">
      <c r="B15" s="136" t="inlineStr">
        <is>
          <t>1.5</t>
        </is>
      </c>
      <c r="C15" s="137" t="inlineStr">
        <is>
          <t>Mockups tentativos</t>
        </is>
      </c>
      <c r="D15" s="138" t="inlineStr">
        <is>
          <t>Jossue</t>
        </is>
      </c>
      <c r="E15" s="139" t="n">
        <v>46258</v>
      </c>
      <c r="F15" s="140" t="n">
        <v>46262</v>
      </c>
      <c r="G15" s="141">
        <f>IF(F15-E15=0,"",F15-E15)</f>
        <v/>
      </c>
      <c r="H15" s="142" t="n">
        <v>0</v>
      </c>
      <c r="I15" s="5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148" t="n"/>
      <c r="T15" s="148" t="n"/>
      <c r="U15" s="148" t="n"/>
      <c r="V15" s="148" t="n"/>
      <c r="W15" s="148" t="n"/>
      <c r="X15" s="21" t="n"/>
      <c r="Y15" s="21" t="n"/>
      <c r="Z15" s="21" t="n"/>
      <c r="AA15" s="21" t="n"/>
      <c r="AB15" s="21" t="n"/>
      <c r="AC15" s="20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0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0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0" t="n"/>
      <c r="CL15" s="21" t="n"/>
      <c r="CM15" s="21" t="n"/>
      <c r="CN15" s="21" t="n"/>
      <c r="CO15" s="21" t="n"/>
      <c r="CP15" s="20" t="n"/>
    </row>
    <row r="16" ht="20" customHeight="1">
      <c r="B16" s="136" t="inlineStr">
        <is>
          <t>1.6</t>
        </is>
      </c>
      <c r="C16" s="137" t="inlineStr">
        <is>
          <t>Matriz RACI y plan de trabajo</t>
        </is>
      </c>
      <c r="D16" s="138" t="inlineStr">
        <is>
          <t>Pedro</t>
        </is>
      </c>
      <c r="E16" s="139" t="n">
        <v>46258</v>
      </c>
      <c r="F16" s="140" t="n">
        <v>46269</v>
      </c>
      <c r="G16" s="141">
        <f>IF(F16-E16=0,"",F16-E16)</f>
        <v/>
      </c>
      <c r="H16" s="142" t="n">
        <v>0</v>
      </c>
      <c r="I16" s="5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147" t="n"/>
      <c r="T16" s="147" t="n"/>
      <c r="U16" s="147" t="n"/>
      <c r="V16" s="147" t="n"/>
      <c r="W16" s="147" t="n"/>
      <c r="X16" s="147" t="n"/>
      <c r="Y16" s="147" t="n"/>
      <c r="Z16" s="147" t="n"/>
      <c r="AA16" s="147" t="n"/>
      <c r="AB16" s="147" t="n"/>
      <c r="AC16" s="20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0" t="n"/>
      <c r="AX16" s="21" t="n"/>
      <c r="AY16" s="21" t="n"/>
      <c r="AZ16" s="21" t="n"/>
      <c r="BA16" s="21" t="n"/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/>
      <c r="BL16" s="21" t="n"/>
      <c r="BM16" s="21" t="n"/>
      <c r="BN16" s="21" t="n"/>
      <c r="BO16" s="21" t="n"/>
      <c r="BP16" s="21" t="n"/>
      <c r="BQ16" s="20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  <c r="CA16" s="21" t="n"/>
      <c r="CB16" s="21" t="n"/>
      <c r="CC16" s="21" t="n"/>
      <c r="CD16" s="21" t="n"/>
      <c r="CE16" s="21" t="n"/>
      <c r="CF16" s="21" t="n"/>
      <c r="CG16" s="21" t="n"/>
      <c r="CH16" s="21" t="n"/>
      <c r="CI16" s="21" t="n"/>
      <c r="CJ16" s="21" t="n"/>
      <c r="CK16" s="20" t="n"/>
      <c r="CL16" s="21" t="n"/>
      <c r="CM16" s="21" t="n"/>
      <c r="CN16" s="21" t="n"/>
      <c r="CO16" s="21" t="n"/>
      <c r="CP16" s="20" t="n"/>
    </row>
    <row r="17" ht="20" customHeight="1">
      <c r="B17" s="136" t="inlineStr">
        <is>
          <t>1.7</t>
        </is>
      </c>
      <c r="C17" s="137" t="inlineStr">
        <is>
          <t>Exposición grupal Fase 1 (31-ago)</t>
        </is>
      </c>
      <c r="D17" s="138" t="inlineStr">
        <is>
          <t>Ambos</t>
        </is>
      </c>
      <c r="E17" s="139" t="n">
        <v>46265</v>
      </c>
      <c r="F17" s="140" t="n">
        <v>46269</v>
      </c>
      <c r="G17" s="141">
        <f>IF(F17-E17=0,"",F17-E17)</f>
        <v/>
      </c>
      <c r="H17" s="142" t="n">
        <v>0</v>
      </c>
      <c r="I17" s="5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149" t="n"/>
      <c r="Y17" s="149" t="n"/>
      <c r="Z17" s="149" t="n"/>
      <c r="AA17" s="149" t="n"/>
      <c r="AB17" s="149" t="n"/>
      <c r="AC17" s="20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0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/>
      <c r="BL17" s="21" t="n"/>
      <c r="BM17" s="21" t="n"/>
      <c r="BN17" s="21" t="n"/>
      <c r="BO17" s="21" t="n"/>
      <c r="BP17" s="21" t="n"/>
      <c r="BQ17" s="20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  <c r="CA17" s="21" t="n"/>
      <c r="CB17" s="21" t="n"/>
      <c r="CC17" s="21" t="n"/>
      <c r="CD17" s="21" t="n"/>
      <c r="CE17" s="21" t="n"/>
      <c r="CF17" s="21" t="n"/>
      <c r="CG17" s="21" t="n"/>
      <c r="CH17" s="21" t="n"/>
      <c r="CI17" s="21" t="n"/>
      <c r="CJ17" s="21" t="n"/>
      <c r="CK17" s="20" t="n"/>
      <c r="CL17" s="21" t="n"/>
      <c r="CM17" s="21" t="n"/>
      <c r="CN17" s="21" t="n"/>
      <c r="CO17" s="21" t="n"/>
      <c r="CP17" s="20" t="n"/>
    </row>
    <row r="18" ht="20" customHeight="1">
      <c r="B18" s="150" t="inlineStr">
        <is>
          <t>2</t>
        </is>
      </c>
      <c r="C18" s="151" t="inlineStr">
        <is>
          <t>FASE 2 — DESARROLLO DEL PROYECTO APT</t>
        </is>
      </c>
      <c r="D18" s="152" t="inlineStr"/>
      <c r="E18" s="153" t="n">
        <v>46265</v>
      </c>
      <c r="F18" s="154" t="n">
        <v>46346</v>
      </c>
      <c r="G18" s="155">
        <f>IF(F18-E18=0,"",F18-E18)</f>
        <v/>
      </c>
      <c r="H18" s="57" t="n"/>
      <c r="I18" s="5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135" t="n"/>
      <c r="Y18" s="135" t="n"/>
      <c r="Z18" s="135" t="n"/>
      <c r="AA18" s="135" t="n"/>
      <c r="AB18" s="135" t="n"/>
      <c r="AC18" s="156" t="n"/>
      <c r="AD18" s="135" t="n"/>
      <c r="AE18" s="135" t="n"/>
      <c r="AF18" s="135" t="n"/>
      <c r="AG18" s="135" t="n"/>
      <c r="AH18" s="135" t="n"/>
      <c r="AI18" s="135" t="n"/>
      <c r="AJ18" s="135" t="n"/>
      <c r="AK18" s="135" t="n"/>
      <c r="AL18" s="135" t="n"/>
      <c r="AM18" s="135" t="n"/>
      <c r="AN18" s="135" t="n"/>
      <c r="AO18" s="135" t="n"/>
      <c r="AP18" s="135" t="n"/>
      <c r="AQ18" s="135" t="n"/>
      <c r="AR18" s="135" t="n"/>
      <c r="AS18" s="135" t="n"/>
      <c r="AT18" s="135" t="n"/>
      <c r="AU18" s="135" t="n"/>
      <c r="AV18" s="135" t="n"/>
      <c r="AW18" s="156" t="n"/>
      <c r="AX18" s="135" t="n"/>
      <c r="AY18" s="135" t="n"/>
      <c r="AZ18" s="135" t="n"/>
      <c r="BA18" s="135" t="n"/>
      <c r="BB18" s="135" t="n"/>
      <c r="BC18" s="135" t="n"/>
      <c r="BD18" s="135" t="n"/>
      <c r="BE18" s="135" t="n"/>
      <c r="BF18" s="135" t="n"/>
      <c r="BG18" s="135" t="n"/>
      <c r="BH18" s="135" t="n"/>
      <c r="BI18" s="135" t="n"/>
      <c r="BJ18" s="135" t="n"/>
      <c r="BK18" s="135" t="n"/>
      <c r="BL18" s="135" t="n"/>
      <c r="BM18" s="135" t="n"/>
      <c r="BN18" s="135" t="n"/>
      <c r="BO18" s="135" t="n"/>
      <c r="BP18" s="135" t="n"/>
      <c r="BQ18" s="156" t="n"/>
      <c r="BR18" s="135" t="n"/>
      <c r="BS18" s="135" t="n"/>
      <c r="BT18" s="135" t="n"/>
      <c r="BU18" s="135" t="n"/>
      <c r="BV18" s="135" t="n"/>
      <c r="BW18" s="135" t="n"/>
      <c r="BX18" s="135" t="n"/>
      <c r="BY18" s="135" t="n"/>
      <c r="BZ18" s="135" t="n"/>
      <c r="CA18" s="135" t="n"/>
      <c r="CB18" s="135" t="n"/>
      <c r="CC18" s="135" t="n"/>
      <c r="CD18" s="135" t="n"/>
      <c r="CE18" s="135" t="n"/>
      <c r="CF18" s="21" t="n"/>
      <c r="CG18" s="21" t="n"/>
      <c r="CH18" s="21" t="n"/>
      <c r="CI18" s="21" t="n"/>
      <c r="CJ18" s="21" t="n"/>
      <c r="CK18" s="20" t="n"/>
      <c r="CL18" s="21" t="n"/>
      <c r="CM18" s="21" t="n"/>
      <c r="CN18" s="21" t="n"/>
      <c r="CO18" s="21" t="n"/>
      <c r="CP18" s="20" t="n"/>
    </row>
    <row r="19" ht="20" customHeight="1">
      <c r="B19" s="136" t="inlineStr">
        <is>
          <t>2.1</t>
        </is>
      </c>
      <c r="C19" s="137" t="inlineStr">
        <is>
          <t>Base del proyecto: entorno, panel admin, contrato de API, migraciones</t>
        </is>
      </c>
      <c r="D19" s="138" t="inlineStr">
        <is>
          <t>Jossue</t>
        </is>
      </c>
      <c r="E19" s="139" t="n">
        <v>46265</v>
      </c>
      <c r="F19" s="140" t="n">
        <v>46276</v>
      </c>
      <c r="G19" s="141">
        <f>IF(F19-E19=0,"",F19-E19)</f>
        <v/>
      </c>
      <c r="H19" s="142" t="n">
        <v>0</v>
      </c>
      <c r="I19" s="5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148" t="n"/>
      <c r="Y19" s="148" t="n"/>
      <c r="Z19" s="148" t="n"/>
      <c r="AA19" s="148" t="n"/>
      <c r="AB19" s="148" t="n"/>
      <c r="AC19" s="157" t="n"/>
      <c r="AD19" s="148" t="n"/>
      <c r="AE19" s="148" t="n"/>
      <c r="AF19" s="148" t="n"/>
      <c r="AG19" s="148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0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0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0" t="n"/>
      <c r="CL19" s="21" t="n"/>
      <c r="CM19" s="21" t="n"/>
      <c r="CN19" s="21" t="n"/>
      <c r="CO19" s="21" t="n"/>
      <c r="CP19" s="20" t="n"/>
    </row>
    <row r="20" ht="20" customHeight="1">
      <c r="B20" s="136" t="inlineStr">
        <is>
          <t>2.2</t>
        </is>
      </c>
      <c r="C20" s="137" t="inlineStr">
        <is>
          <t>Base del proyecto: repositorio, backend FastAPI, autenticación, modelo de datos</t>
        </is>
      </c>
      <c r="D20" s="138" t="inlineStr">
        <is>
          <t>Pedro</t>
        </is>
      </c>
      <c r="E20" s="139" t="n">
        <v>46265</v>
      </c>
      <c r="F20" s="140" t="n">
        <v>46276</v>
      </c>
      <c r="G20" s="141">
        <f>IF(F20-E20=0,"",F20-E20)</f>
        <v/>
      </c>
      <c r="H20" s="142" t="n">
        <v>0</v>
      </c>
      <c r="I20" s="5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147" t="n"/>
      <c r="Y20" s="147" t="n"/>
      <c r="Z20" s="147" t="n"/>
      <c r="AA20" s="147" t="n"/>
      <c r="AB20" s="147" t="n"/>
      <c r="AC20" s="158" t="n"/>
      <c r="AD20" s="147" t="n"/>
      <c r="AE20" s="147" t="n"/>
      <c r="AF20" s="147" t="n"/>
      <c r="AG20" s="147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0" t="n"/>
      <c r="AX20" s="21" t="n"/>
      <c r="AY20" s="21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  <c r="BL20" s="21" t="n"/>
      <c r="BM20" s="21" t="n"/>
      <c r="BN20" s="21" t="n"/>
      <c r="BO20" s="21" t="n"/>
      <c r="BP20" s="21" t="n"/>
      <c r="BQ20" s="20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  <c r="CA20" s="21" t="n"/>
      <c r="CB20" s="21" t="n"/>
      <c r="CC20" s="21" t="n"/>
      <c r="CD20" s="21" t="n"/>
      <c r="CE20" s="21" t="n"/>
      <c r="CF20" s="21" t="n"/>
      <c r="CG20" s="21" t="n"/>
      <c r="CH20" s="21" t="n"/>
      <c r="CI20" s="21" t="n"/>
      <c r="CJ20" s="21" t="n"/>
      <c r="CK20" s="20" t="n"/>
      <c r="CL20" s="21" t="n"/>
      <c r="CM20" s="21" t="n"/>
      <c r="CN20" s="21" t="n"/>
      <c r="CO20" s="21" t="n"/>
      <c r="CP20" s="20" t="n"/>
    </row>
    <row r="21" ht="20" customHeight="1">
      <c r="B21" s="136" t="inlineStr">
        <is>
          <t>2.3</t>
        </is>
      </c>
      <c r="C21" s="137" t="inlineStr">
        <is>
          <t>Simulador SFA: APIs de cuentas, mTLS y certificados</t>
        </is>
      </c>
      <c r="D21" s="138" t="inlineStr">
        <is>
          <t>Jossue</t>
        </is>
      </c>
      <c r="E21" s="139" t="n">
        <v>46279</v>
      </c>
      <c r="F21" s="140" t="n">
        <v>46290</v>
      </c>
      <c r="G21" s="141">
        <f>IF(F21-E21=0,"",F21-E21)</f>
        <v/>
      </c>
      <c r="H21" s="142" t="n">
        <v>0</v>
      </c>
      <c r="I21" s="5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0" t="n"/>
      <c r="AD21" s="21" t="n"/>
      <c r="AE21" s="21" t="n"/>
      <c r="AF21" s="21" t="n"/>
      <c r="AG21" s="21" t="n"/>
      <c r="AH21" s="148" t="n"/>
      <c r="AI21" s="148" t="n"/>
      <c r="AJ21" s="148" t="n"/>
      <c r="AK21" s="148" t="n"/>
      <c r="AL21" s="148" t="n"/>
      <c r="AM21" s="148" t="n"/>
      <c r="AN21" s="148" t="n"/>
      <c r="AO21" s="148" t="n"/>
      <c r="AP21" s="148" t="n"/>
      <c r="AQ21" s="148" t="n"/>
      <c r="AR21" s="21" t="n"/>
      <c r="AS21" s="21" t="n"/>
      <c r="AT21" s="21" t="n"/>
      <c r="AU21" s="21" t="n"/>
      <c r="AV21" s="21" t="n"/>
      <c r="AW21" s="20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  <c r="BL21" s="21" t="n"/>
      <c r="BM21" s="21" t="n"/>
      <c r="BN21" s="21" t="n"/>
      <c r="BO21" s="21" t="n"/>
      <c r="BP21" s="21" t="n"/>
      <c r="BQ21" s="20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  <c r="CA21" s="21" t="n"/>
      <c r="CB21" s="21" t="n"/>
      <c r="CC21" s="21" t="n"/>
      <c r="CD21" s="21" t="n"/>
      <c r="CE21" s="21" t="n"/>
      <c r="CF21" s="21" t="n"/>
      <c r="CG21" s="21" t="n"/>
      <c r="CH21" s="21" t="n"/>
      <c r="CI21" s="21" t="n"/>
      <c r="CJ21" s="21" t="n"/>
      <c r="CK21" s="20" t="n"/>
      <c r="CL21" s="21" t="n"/>
      <c r="CM21" s="21" t="n"/>
      <c r="CN21" s="21" t="n"/>
      <c r="CO21" s="21" t="n"/>
      <c r="CP21" s="20" t="n"/>
    </row>
    <row r="22" ht="20" customHeight="1">
      <c r="B22" s="136" t="inlineStr">
        <is>
          <t>2.4</t>
        </is>
      </c>
      <c r="C22" s="137" t="inlineStr">
        <is>
          <t>Simulador SFA: servidor de autorización y datos de prueba</t>
        </is>
      </c>
      <c r="D22" s="138" t="inlineStr">
        <is>
          <t>Pedro</t>
        </is>
      </c>
      <c r="E22" s="139" t="n">
        <v>46272</v>
      </c>
      <c r="F22" s="140" t="n">
        <v>46283</v>
      </c>
      <c r="G22" s="141">
        <f>IF(F22-E22=0,"",F22-E22)</f>
        <v/>
      </c>
      <c r="H22" s="142" t="n">
        <v>0</v>
      </c>
      <c r="I22" s="5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158" t="n"/>
      <c r="AD22" s="147" t="n"/>
      <c r="AE22" s="147" t="n"/>
      <c r="AF22" s="147" t="n"/>
      <c r="AG22" s="147" t="n"/>
      <c r="AH22" s="147" t="n"/>
      <c r="AI22" s="147" t="n"/>
      <c r="AJ22" s="147" t="n"/>
      <c r="AK22" s="147" t="n"/>
      <c r="AL22" s="147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0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0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0" t="n"/>
      <c r="CL22" s="21" t="n"/>
      <c r="CM22" s="21" t="n"/>
      <c r="CN22" s="21" t="n"/>
      <c r="CO22" s="21" t="n"/>
      <c r="CP22" s="20" t="n"/>
    </row>
    <row r="23" ht="20" customHeight="1">
      <c r="B23" s="136" t="inlineStr">
        <is>
          <t>2.5</t>
        </is>
      </c>
      <c r="C23" s="159" t="inlineStr">
        <is>
          <t>Cliente SFA: flujo PAR, firma JWS, consumo de APIs de cuentas</t>
        </is>
      </c>
      <c r="D23" s="160" t="inlineStr">
        <is>
          <t>Jossue</t>
        </is>
      </c>
      <c r="E23" s="153" t="n">
        <v>46279</v>
      </c>
      <c r="F23" s="154" t="n">
        <v>46297</v>
      </c>
      <c r="G23" s="155">
        <f>IF(F23-E23=0,"",F23-E23)</f>
        <v/>
      </c>
      <c r="H23" s="161" t="n">
        <v>0</v>
      </c>
      <c r="I23" s="5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0" t="n"/>
      <c r="AD23" s="21" t="n"/>
      <c r="AE23" s="21" t="n"/>
      <c r="AF23" s="21" t="n"/>
      <c r="AG23" s="21" t="n"/>
      <c r="AH23" s="148" t="n"/>
      <c r="AI23" s="148" t="n"/>
      <c r="AJ23" s="148" t="n"/>
      <c r="AK23" s="148" t="n"/>
      <c r="AL23" s="148" t="n"/>
      <c r="AM23" s="148" t="n"/>
      <c r="AN23" s="148" t="n"/>
      <c r="AO23" s="148" t="n"/>
      <c r="AP23" s="148" t="n"/>
      <c r="AQ23" s="148" t="n"/>
      <c r="AR23" s="148" t="n"/>
      <c r="AS23" s="148" t="n"/>
      <c r="AT23" s="148" t="n"/>
      <c r="AU23" s="148" t="n"/>
      <c r="AV23" s="148" t="n"/>
      <c r="AW23" s="20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0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0" t="n"/>
      <c r="CL23" s="21" t="n"/>
      <c r="CM23" s="21" t="n"/>
      <c r="CN23" s="21" t="n"/>
      <c r="CO23" s="21" t="n"/>
      <c r="CP23" s="20" t="n"/>
    </row>
    <row r="24" ht="20" customHeight="1">
      <c r="B24" s="136" t="inlineStr">
        <is>
          <t>2.6</t>
        </is>
      </c>
      <c r="C24" s="137" t="inlineStr">
        <is>
          <t>Cliente SFA: cliente mTLS, consentimiento RAR, ciclo de tokens</t>
        </is>
      </c>
      <c r="D24" s="138" t="inlineStr">
        <is>
          <t>Pedro</t>
        </is>
      </c>
      <c r="E24" s="139" t="n">
        <v>46272</v>
      </c>
      <c r="F24" s="140" t="n">
        <v>46290</v>
      </c>
      <c r="G24" s="141">
        <f>IF(F24-E24=0,"",F24-E24)</f>
        <v/>
      </c>
      <c r="H24" s="142" t="n">
        <v>0</v>
      </c>
      <c r="I24" s="5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158" t="n"/>
      <c r="AD24" s="147" t="n"/>
      <c r="AE24" s="147" t="n"/>
      <c r="AF24" s="147" t="n"/>
      <c r="AG24" s="147" t="n"/>
      <c r="AH24" s="147" t="n"/>
      <c r="AI24" s="147" t="n"/>
      <c r="AJ24" s="147" t="n"/>
      <c r="AK24" s="147" t="n"/>
      <c r="AL24" s="147" t="n"/>
      <c r="AM24" s="147" t="n"/>
      <c r="AN24" s="147" t="n"/>
      <c r="AO24" s="147" t="n"/>
      <c r="AP24" s="147" t="n"/>
      <c r="AQ24" s="147" t="n"/>
      <c r="AR24" s="21" t="n"/>
      <c r="AS24" s="21" t="n"/>
      <c r="AT24" s="21" t="n"/>
      <c r="AU24" s="21" t="n"/>
      <c r="AV24" s="21" t="n"/>
      <c r="AW24" s="20" t="n"/>
      <c r="AX24" s="21" t="n"/>
      <c r="AY24" s="21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  <c r="BL24" s="21" t="n"/>
      <c r="BM24" s="21" t="n"/>
      <c r="BN24" s="21" t="n"/>
      <c r="BO24" s="21" t="n"/>
      <c r="BP24" s="21" t="n"/>
      <c r="BQ24" s="20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  <c r="CA24" s="21" t="n"/>
      <c r="CB24" s="21" t="n"/>
      <c r="CC24" s="21" t="n"/>
      <c r="CD24" s="21" t="n"/>
      <c r="CE24" s="21" t="n"/>
      <c r="CF24" s="21" t="n"/>
      <c r="CG24" s="21" t="n"/>
      <c r="CH24" s="21" t="n"/>
      <c r="CI24" s="21" t="n"/>
      <c r="CJ24" s="21" t="n"/>
      <c r="CK24" s="20" t="n"/>
      <c r="CL24" s="21" t="n"/>
      <c r="CM24" s="21" t="n"/>
      <c r="CN24" s="21" t="n"/>
      <c r="CO24" s="21" t="n"/>
      <c r="CP24" s="20" t="n"/>
    </row>
    <row r="25" ht="20" customHeight="1">
      <c r="B25" s="136" t="inlineStr">
        <is>
          <t>2.7</t>
        </is>
      </c>
      <c r="C25" s="137" t="inlineStr">
        <is>
          <t>Ingesta: sincronización, deduplicación, pendientes vs. confirmadas</t>
        </is>
      </c>
      <c r="D25" s="138" t="inlineStr">
        <is>
          <t>Jossue</t>
        </is>
      </c>
      <c r="E25" s="139" t="n">
        <v>46286</v>
      </c>
      <c r="F25" s="140" t="n">
        <v>46304</v>
      </c>
      <c r="G25" s="141">
        <f>IF(F25-E25=0,"",F25-E25)</f>
        <v/>
      </c>
      <c r="H25" s="142" t="n">
        <v>0</v>
      </c>
      <c r="I25" s="5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0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148" t="n"/>
      <c r="AN25" s="148" t="n"/>
      <c r="AO25" s="148" t="n"/>
      <c r="AP25" s="148" t="n"/>
      <c r="AQ25" s="148" t="n"/>
      <c r="AR25" s="148" t="n"/>
      <c r="AS25" s="148" t="n"/>
      <c r="AT25" s="148" t="n"/>
      <c r="AU25" s="148" t="n"/>
      <c r="AV25" s="148" t="n"/>
      <c r="AW25" s="157" t="n"/>
      <c r="AX25" s="148" t="n"/>
      <c r="AY25" s="148" t="n"/>
      <c r="AZ25" s="148" t="n"/>
      <c r="BA25" s="148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  <c r="BL25" s="21" t="n"/>
      <c r="BM25" s="21" t="n"/>
      <c r="BN25" s="21" t="n"/>
      <c r="BO25" s="21" t="n"/>
      <c r="BP25" s="21" t="n"/>
      <c r="BQ25" s="20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  <c r="CA25" s="21" t="n"/>
      <c r="CB25" s="21" t="n"/>
      <c r="CC25" s="21" t="n"/>
      <c r="CD25" s="21" t="n"/>
      <c r="CE25" s="21" t="n"/>
      <c r="CF25" s="21" t="n"/>
      <c r="CG25" s="21" t="n"/>
      <c r="CH25" s="21" t="n"/>
      <c r="CI25" s="21" t="n"/>
      <c r="CJ25" s="21" t="n"/>
      <c r="CK25" s="20" t="n"/>
      <c r="CL25" s="21" t="n"/>
      <c r="CM25" s="21" t="n"/>
      <c r="CN25" s="21" t="n"/>
      <c r="CO25" s="21" t="n"/>
      <c r="CP25" s="20" t="n"/>
    </row>
    <row r="26" ht="20" customHeight="1">
      <c r="B26" s="136" t="inlineStr">
        <is>
          <t>2.8</t>
        </is>
      </c>
      <c r="C26" s="145" t="inlineStr">
        <is>
          <t>Ingesta: payload crudo, normalización canónica, glosas, correcciones</t>
        </is>
      </c>
      <c r="D26" s="146" t="inlineStr">
        <is>
          <t>Pedro</t>
        </is>
      </c>
      <c r="E26" s="139" t="n">
        <v>46279</v>
      </c>
      <c r="F26" s="140" t="n">
        <v>46304</v>
      </c>
      <c r="G26" s="141">
        <f>IF(F26-E26=0,"",F26-E26)</f>
        <v/>
      </c>
      <c r="H26" s="142" t="n">
        <v>0</v>
      </c>
      <c r="I26" s="5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0" t="n"/>
      <c r="AD26" s="21" t="n"/>
      <c r="AE26" s="21" t="n"/>
      <c r="AF26" s="21" t="n"/>
      <c r="AG26" s="21" t="n"/>
      <c r="AH26" s="147" t="n"/>
      <c r="AI26" s="147" t="n"/>
      <c r="AJ26" s="147" t="n"/>
      <c r="AK26" s="147" t="n"/>
      <c r="AL26" s="147" t="n"/>
      <c r="AM26" s="147" t="n"/>
      <c r="AN26" s="147" t="n"/>
      <c r="AO26" s="147" t="n"/>
      <c r="AP26" s="147" t="n"/>
      <c r="AQ26" s="147" t="n"/>
      <c r="AR26" s="147" t="n"/>
      <c r="AS26" s="147" t="n"/>
      <c r="AT26" s="147" t="n"/>
      <c r="AU26" s="147" t="n"/>
      <c r="AV26" s="147" t="n"/>
      <c r="AW26" s="158" t="n"/>
      <c r="AX26" s="147" t="n"/>
      <c r="AY26" s="147" t="n"/>
      <c r="AZ26" s="147" t="n"/>
      <c r="BA26" s="147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0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0" t="n"/>
      <c r="CL26" s="21" t="n"/>
      <c r="CM26" s="21" t="n"/>
      <c r="CN26" s="21" t="n"/>
      <c r="CO26" s="21" t="n"/>
      <c r="CP26" s="20" t="n"/>
    </row>
    <row r="27" ht="20" customHeight="1">
      <c r="B27" s="136" t="inlineStr">
        <is>
          <t>2.9</t>
        </is>
      </c>
      <c r="C27" s="145" t="inlineStr">
        <is>
          <t>Entrega de avance (12-oct)</t>
        </is>
      </c>
      <c r="D27" s="146" t="inlineStr">
        <is>
          <t>Ambos</t>
        </is>
      </c>
      <c r="E27" s="139" t="n">
        <v>46307</v>
      </c>
      <c r="F27" s="140" t="n">
        <v>46311</v>
      </c>
      <c r="G27" s="141">
        <f>IF(F27-E27=0,"",F27-E27)</f>
        <v/>
      </c>
      <c r="H27" s="142" t="n">
        <v>0</v>
      </c>
      <c r="I27" s="5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0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0" t="n"/>
      <c r="AX27" s="21" t="n"/>
      <c r="AY27" s="21" t="n"/>
      <c r="AZ27" s="21" t="n"/>
      <c r="BA27" s="21" t="n"/>
      <c r="BB27" s="149" t="n"/>
      <c r="BC27" s="149" t="n"/>
      <c r="BD27" s="149" t="n"/>
      <c r="BE27" s="149" t="n"/>
      <c r="BF27" s="149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0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0" t="n"/>
      <c r="CL27" s="21" t="n"/>
      <c r="CM27" s="21" t="n"/>
      <c r="CN27" s="21" t="n"/>
      <c r="CO27" s="21" t="n"/>
      <c r="CP27" s="20" t="n"/>
    </row>
    <row r="28" ht="20" customHeight="1">
      <c r="B28" s="136" t="inlineStr">
        <is>
          <t>2.10</t>
        </is>
      </c>
      <c r="C28" s="137" t="inlineStr">
        <is>
          <t>Clasificación: catálogo de reglas, umbral de confianza, reentrenamiento</t>
        </is>
      </c>
      <c r="D28" s="138" t="inlineStr">
        <is>
          <t>Jossue</t>
        </is>
      </c>
      <c r="E28" s="139" t="n">
        <v>46300</v>
      </c>
      <c r="F28" s="140" t="n">
        <v>46318</v>
      </c>
      <c r="G28" s="141">
        <f>IF(F28-E28=0,"",F28-E28)</f>
        <v/>
      </c>
      <c r="H28" s="142" t="n">
        <v>0</v>
      </c>
      <c r="I28" s="5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0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157" t="n"/>
      <c r="AX28" s="148" t="n"/>
      <c r="AY28" s="148" t="n"/>
      <c r="AZ28" s="148" t="n"/>
      <c r="BA28" s="148" t="n"/>
      <c r="BB28" s="148" t="n"/>
      <c r="BC28" s="148" t="n"/>
      <c r="BD28" s="148" t="n"/>
      <c r="BE28" s="148" t="n"/>
      <c r="BF28" s="148" t="n"/>
      <c r="BG28" s="148" t="n"/>
      <c r="BH28" s="148" t="n"/>
      <c r="BI28" s="148" t="n"/>
      <c r="BJ28" s="148" t="n"/>
      <c r="BK28" s="148" t="n"/>
      <c r="BL28" s="21" t="n"/>
      <c r="BM28" s="21" t="n"/>
      <c r="BN28" s="21" t="n"/>
      <c r="BO28" s="21" t="n"/>
      <c r="BP28" s="21" t="n"/>
      <c r="BQ28" s="20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  <c r="CA28" s="21" t="n"/>
      <c r="CB28" s="21" t="n"/>
      <c r="CC28" s="21" t="n"/>
      <c r="CD28" s="21" t="n"/>
      <c r="CE28" s="21" t="n"/>
      <c r="CF28" s="21" t="n"/>
      <c r="CG28" s="21" t="n"/>
      <c r="CH28" s="21" t="n"/>
      <c r="CI28" s="21" t="n"/>
      <c r="CJ28" s="21" t="n"/>
      <c r="CK28" s="20" t="n"/>
      <c r="CL28" s="21" t="n"/>
      <c r="CM28" s="21" t="n"/>
      <c r="CN28" s="21" t="n"/>
      <c r="CO28" s="21" t="n"/>
      <c r="CP28" s="20" t="n"/>
    </row>
    <row r="29" ht="20" customHeight="1">
      <c r="B29" s="136" t="inlineStr">
        <is>
          <t>2.11</t>
        </is>
      </c>
      <c r="C29" s="145" t="inlineStr">
        <is>
          <t>Clasificación: dataset sintético, modelo TF-IDF, bandeja de revisión</t>
        </is>
      </c>
      <c r="D29" s="146" t="inlineStr">
        <is>
          <t>Pedro</t>
        </is>
      </c>
      <c r="E29" s="139" t="n">
        <v>46293</v>
      </c>
      <c r="F29" s="140" t="n">
        <v>46311</v>
      </c>
      <c r="G29" s="141">
        <f>IF(F29-E29=0,"",F29-E29)</f>
        <v/>
      </c>
      <c r="H29" s="142" t="n">
        <v>0</v>
      </c>
      <c r="I29" s="5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0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147" t="n"/>
      <c r="AS29" s="147" t="n"/>
      <c r="AT29" s="147" t="n"/>
      <c r="AU29" s="147" t="n"/>
      <c r="AV29" s="147" t="n"/>
      <c r="AW29" s="158" t="n"/>
      <c r="AX29" s="147" t="n"/>
      <c r="AY29" s="147" t="n"/>
      <c r="AZ29" s="147" t="n"/>
      <c r="BA29" s="147" t="n"/>
      <c r="BB29" s="147" t="n"/>
      <c r="BC29" s="147" t="n"/>
      <c r="BD29" s="147" t="n"/>
      <c r="BE29" s="147" t="n"/>
      <c r="BF29" s="147" t="n"/>
      <c r="BG29" s="21" t="n"/>
      <c r="BH29" s="21" t="n"/>
      <c r="BI29" s="21" t="n"/>
      <c r="BJ29" s="21" t="n"/>
      <c r="BK29" s="21" t="n"/>
      <c r="BL29" s="21" t="n"/>
      <c r="BM29" s="21" t="n"/>
      <c r="BN29" s="21" t="n"/>
      <c r="BO29" s="21" t="n"/>
      <c r="BP29" s="21" t="n"/>
      <c r="BQ29" s="20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  <c r="CA29" s="21" t="n"/>
      <c r="CB29" s="21" t="n"/>
      <c r="CC29" s="21" t="n"/>
      <c r="CD29" s="21" t="n"/>
      <c r="CE29" s="21" t="n"/>
      <c r="CF29" s="21" t="n"/>
      <c r="CG29" s="21" t="n"/>
      <c r="CH29" s="21" t="n"/>
      <c r="CI29" s="21" t="n"/>
      <c r="CJ29" s="21" t="n"/>
      <c r="CK29" s="20" t="n"/>
      <c r="CL29" s="21" t="n"/>
      <c r="CM29" s="21" t="n"/>
      <c r="CN29" s="21" t="n"/>
      <c r="CO29" s="21" t="n"/>
      <c r="CP29" s="20" t="n"/>
    </row>
    <row r="30" ht="20" customHeight="1">
      <c r="B30" s="136" t="inlineStr">
        <is>
          <t>2.12</t>
        </is>
      </c>
      <c r="C30" s="159" t="inlineStr">
        <is>
          <t>Recurrencias: modelo de suscripciones</t>
        </is>
      </c>
      <c r="D30" s="160" t="inlineStr">
        <is>
          <t>Jossue</t>
        </is>
      </c>
      <c r="E30" s="153" t="n">
        <v>46307</v>
      </c>
      <c r="F30" s="154" t="n">
        <v>46311</v>
      </c>
      <c r="G30" s="155">
        <f>IF(F30-E30=0,"",F30-E30)</f>
        <v/>
      </c>
      <c r="H30" s="161" t="n">
        <v>0</v>
      </c>
      <c r="I30" s="5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0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0" t="n"/>
      <c r="AX30" s="21" t="n"/>
      <c r="AY30" s="21" t="n"/>
      <c r="AZ30" s="21" t="n"/>
      <c r="BA30" s="21" t="n"/>
      <c r="BB30" s="148" t="n"/>
      <c r="BC30" s="148" t="n"/>
      <c r="BD30" s="148" t="n"/>
      <c r="BE30" s="148" t="n"/>
      <c r="BF30" s="148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0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0" t="n"/>
      <c r="CL30" s="21" t="n"/>
      <c r="CM30" s="21" t="n"/>
      <c r="CN30" s="21" t="n"/>
      <c r="CO30" s="21" t="n"/>
      <c r="CP30" s="20" t="n"/>
    </row>
    <row r="31" ht="20" customHeight="1">
      <c r="B31" s="136" t="inlineStr">
        <is>
          <t>2.13</t>
        </is>
      </c>
      <c r="C31" s="137" t="inlineStr">
        <is>
          <t>Recurrencias: algoritmo de periodicidad y confirmación</t>
        </is>
      </c>
      <c r="D31" s="138" t="inlineStr">
        <is>
          <t>Pedro</t>
        </is>
      </c>
      <c r="E31" s="139" t="n">
        <v>46300</v>
      </c>
      <c r="F31" s="140" t="n">
        <v>46318</v>
      </c>
      <c r="G31" s="141">
        <f>IF(F31-E31=0,"",F31-E31)</f>
        <v/>
      </c>
      <c r="H31" s="142" t="n">
        <v>0</v>
      </c>
      <c r="I31" s="5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0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158" t="n"/>
      <c r="AX31" s="147" t="n"/>
      <c r="AY31" s="147" t="n"/>
      <c r="AZ31" s="147" t="n"/>
      <c r="BA31" s="147" t="n"/>
      <c r="BB31" s="147" t="n"/>
      <c r="BC31" s="147" t="n"/>
      <c r="BD31" s="147" t="n"/>
      <c r="BE31" s="147" t="n"/>
      <c r="BF31" s="147" t="n"/>
      <c r="BG31" s="147" t="n"/>
      <c r="BH31" s="147" t="n"/>
      <c r="BI31" s="147" t="n"/>
      <c r="BJ31" s="147" t="n"/>
      <c r="BK31" s="147" t="n"/>
      <c r="BL31" s="21" t="n"/>
      <c r="BM31" s="21" t="n"/>
      <c r="BN31" s="21" t="n"/>
      <c r="BO31" s="21" t="n"/>
      <c r="BP31" s="21" t="n"/>
      <c r="BQ31" s="20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0" t="n"/>
      <c r="CL31" s="21" t="n"/>
      <c r="CM31" s="21" t="n"/>
      <c r="CN31" s="21" t="n"/>
      <c r="CO31" s="21" t="n"/>
      <c r="CP31" s="20" t="n"/>
    </row>
    <row r="32" ht="20" customHeight="1">
      <c r="B32" s="136" t="inlineStr">
        <is>
          <t>2.14</t>
        </is>
      </c>
      <c r="C32" s="137" t="inlineStr">
        <is>
          <t>Monte Carlo: motor de simulación y proyección de flujo de caja</t>
        </is>
      </c>
      <c r="D32" s="138" t="inlineStr">
        <is>
          <t>Jossue</t>
        </is>
      </c>
      <c r="E32" s="139" t="n">
        <v>46314</v>
      </c>
      <c r="F32" s="140" t="n">
        <v>46325</v>
      </c>
      <c r="G32" s="141">
        <f>IF(F32-E32=0,"",F32-E32)</f>
        <v/>
      </c>
      <c r="H32" s="142" t="n">
        <v>0</v>
      </c>
      <c r="I32" s="5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0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0" t="n"/>
      <c r="AX32" s="21" t="n"/>
      <c r="AY32" s="21" t="n"/>
      <c r="AZ32" s="21" t="n"/>
      <c r="BA32" s="21" t="n"/>
      <c r="BB32" s="21" t="n"/>
      <c r="BC32" s="21" t="n"/>
      <c r="BD32" s="21" t="n"/>
      <c r="BE32" s="21" t="n"/>
      <c r="BF32" s="21" t="n"/>
      <c r="BG32" s="148" t="n"/>
      <c r="BH32" s="148" t="n"/>
      <c r="BI32" s="148" t="n"/>
      <c r="BJ32" s="148" t="n"/>
      <c r="BK32" s="148" t="n"/>
      <c r="BL32" s="148" t="n"/>
      <c r="BM32" s="148" t="n"/>
      <c r="BN32" s="148" t="n"/>
      <c r="BO32" s="148" t="n"/>
      <c r="BP32" s="148" t="n"/>
      <c r="BQ32" s="20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  <c r="CA32" s="21" t="n"/>
      <c r="CB32" s="21" t="n"/>
      <c r="CC32" s="21" t="n"/>
      <c r="CD32" s="21" t="n"/>
      <c r="CE32" s="21" t="n"/>
      <c r="CF32" s="21" t="n"/>
      <c r="CG32" s="21" t="n"/>
      <c r="CH32" s="21" t="n"/>
      <c r="CI32" s="21" t="n"/>
      <c r="CJ32" s="21" t="n"/>
      <c r="CK32" s="20" t="n"/>
      <c r="CL32" s="21" t="n"/>
      <c r="CM32" s="21" t="n"/>
      <c r="CN32" s="21" t="n"/>
      <c r="CO32" s="21" t="n"/>
      <c r="CP32" s="20" t="n"/>
    </row>
    <row r="33" ht="20" customHeight="1">
      <c r="B33" s="136" t="inlineStr">
        <is>
          <t>2.15</t>
        </is>
      </c>
      <c r="C33" s="137" t="inlineStr">
        <is>
          <t>Monte Carlo: cálculo del excedente y proyección de metas</t>
        </is>
      </c>
      <c r="D33" s="138" t="inlineStr">
        <is>
          <t>Pedro</t>
        </is>
      </c>
      <c r="E33" s="139" t="n">
        <v>46307</v>
      </c>
      <c r="F33" s="140" t="n">
        <v>46325</v>
      </c>
      <c r="G33" s="141">
        <f>IF(F33-E33=0,"",F33-E33)</f>
        <v/>
      </c>
      <c r="H33" s="142" t="n">
        <v>0</v>
      </c>
      <c r="I33" s="5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0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0" t="n"/>
      <c r="AX33" s="21" t="n"/>
      <c r="AY33" s="21" t="n"/>
      <c r="AZ33" s="21" t="n"/>
      <c r="BA33" s="21" t="n"/>
      <c r="BB33" s="147" t="n"/>
      <c r="BC33" s="147" t="n"/>
      <c r="BD33" s="147" t="n"/>
      <c r="BE33" s="147" t="n"/>
      <c r="BF33" s="147" t="n"/>
      <c r="BG33" s="147" t="n"/>
      <c r="BH33" s="147" t="n"/>
      <c r="BI33" s="147" t="n"/>
      <c r="BJ33" s="147" t="n"/>
      <c r="BK33" s="147" t="n"/>
      <c r="BL33" s="147" t="n"/>
      <c r="BM33" s="147" t="n"/>
      <c r="BN33" s="147" t="n"/>
      <c r="BO33" s="147" t="n"/>
      <c r="BP33" s="147" t="n"/>
      <c r="BQ33" s="20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  <c r="CA33" s="21" t="n"/>
      <c r="CB33" s="21" t="n"/>
      <c r="CC33" s="21" t="n"/>
      <c r="CD33" s="21" t="n"/>
      <c r="CE33" s="21" t="n"/>
      <c r="CF33" s="21" t="n"/>
      <c r="CG33" s="21" t="n"/>
      <c r="CH33" s="21" t="n"/>
      <c r="CI33" s="21" t="n"/>
      <c r="CJ33" s="21" t="n"/>
      <c r="CK33" s="20" t="n"/>
      <c r="CL33" s="21" t="n"/>
      <c r="CM33" s="21" t="n"/>
      <c r="CN33" s="21" t="n"/>
      <c r="CO33" s="21" t="n"/>
      <c r="CP33" s="20" t="n"/>
    </row>
    <row r="34" ht="20" customHeight="1" thickBot="1">
      <c r="B34" s="136" t="inlineStr">
        <is>
          <t>2.16</t>
        </is>
      </c>
      <c r="C34" s="137" t="inlineStr">
        <is>
          <t>App móvil: sesión, gastos, conexiones, bandeja de revisión</t>
        </is>
      </c>
      <c r="D34" s="162" t="inlineStr">
        <is>
          <t>Jossue</t>
        </is>
      </c>
      <c r="E34" s="163" t="n">
        <v>46286</v>
      </c>
      <c r="F34" s="164" t="n">
        <v>46332</v>
      </c>
      <c r="G34" s="165">
        <f>IF(F34-E34=0,"",F34-E34)</f>
        <v/>
      </c>
      <c r="H34" s="166" t="n">
        <v>0</v>
      </c>
      <c r="I34" s="52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5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167" t="n"/>
      <c r="AN34" s="167" t="n"/>
      <c r="AO34" s="167" t="n"/>
      <c r="AP34" s="167" t="n"/>
      <c r="AQ34" s="167" t="n"/>
      <c r="AR34" s="167" t="n"/>
      <c r="AS34" s="167" t="n"/>
      <c r="AT34" s="167" t="n"/>
      <c r="AU34" s="167" t="n"/>
      <c r="AV34" s="167" t="n"/>
      <c r="AW34" s="168" t="n"/>
      <c r="AX34" s="167" t="n"/>
      <c r="AY34" s="167" t="n"/>
      <c r="AZ34" s="167" t="n"/>
      <c r="BA34" s="167" t="n"/>
      <c r="BB34" s="167" t="n"/>
      <c r="BC34" s="167" t="n"/>
      <c r="BD34" s="167" t="n"/>
      <c r="BE34" s="167" t="n"/>
      <c r="BF34" s="167" t="n"/>
      <c r="BG34" s="167" t="n"/>
      <c r="BH34" s="167" t="n"/>
      <c r="BI34" s="167" t="n"/>
      <c r="BJ34" s="167" t="n"/>
      <c r="BK34" s="167" t="n"/>
      <c r="BL34" s="167" t="n"/>
      <c r="BM34" s="167" t="n"/>
      <c r="BN34" s="167" t="n"/>
      <c r="BO34" s="167" t="n"/>
      <c r="BP34" s="167" t="n"/>
      <c r="BQ34" s="168" t="n"/>
      <c r="BR34" s="167" t="n"/>
      <c r="BS34" s="167" t="n"/>
      <c r="BT34" s="167" t="n"/>
      <c r="BU34" s="167" t="n"/>
      <c r="BV34" s="26" t="n"/>
      <c r="BW34" s="26" t="n"/>
      <c r="BX34" s="26" t="n"/>
      <c r="BY34" s="26" t="n"/>
      <c r="BZ34" s="26" t="n"/>
      <c r="CA34" s="26" t="n"/>
      <c r="CB34" s="26" t="n"/>
      <c r="CC34" s="26" t="n"/>
      <c r="CD34" s="26" t="n"/>
      <c r="CE34" s="26" t="n"/>
      <c r="CF34" s="26" t="n"/>
      <c r="CG34" s="26" t="n"/>
      <c r="CH34" s="26" t="n"/>
      <c r="CI34" s="26" t="n"/>
      <c r="CJ34" s="26" t="n"/>
      <c r="CK34" s="25" t="n"/>
      <c r="CL34" s="26" t="n"/>
      <c r="CM34" s="26" t="n"/>
      <c r="CN34" s="26" t="n"/>
      <c r="CO34" s="26" t="n"/>
      <c r="CP34" s="25" t="n"/>
    </row>
    <row r="35" ht="20" customHeight="1">
      <c r="B35" s="136" t="inlineStr">
        <is>
          <t>2.17</t>
        </is>
      </c>
      <c r="C35" s="159" t="inlineStr">
        <is>
          <t>App móvil: estructura, dashboard, metas, estados de error, ajustes</t>
        </is>
      </c>
      <c r="D35" s="160" t="inlineStr">
        <is>
          <t>Pedro</t>
        </is>
      </c>
      <c r="E35" s="153" t="n">
        <v>46279</v>
      </c>
      <c r="F35" s="154" t="n">
        <v>46339</v>
      </c>
      <c r="G35" s="155">
        <f>IF(F35-E35=0,"",F35-E35)</f>
        <v/>
      </c>
      <c r="H35" s="161" t="n">
        <v>0</v>
      </c>
      <c r="I35" s="5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0" t="n"/>
      <c r="AD35" s="21" t="n"/>
      <c r="AE35" s="21" t="n"/>
      <c r="AF35" s="21" t="n"/>
      <c r="AG35" s="21" t="n"/>
      <c r="AH35" s="147" t="n"/>
      <c r="AI35" s="147" t="n"/>
      <c r="AJ35" s="147" t="n"/>
      <c r="AK35" s="147" t="n"/>
      <c r="AL35" s="147" t="n"/>
      <c r="AM35" s="147" t="n"/>
      <c r="AN35" s="147" t="n"/>
      <c r="AO35" s="147" t="n"/>
      <c r="AP35" s="147" t="n"/>
      <c r="AQ35" s="147" t="n"/>
      <c r="AR35" s="147" t="n"/>
      <c r="AS35" s="147" t="n"/>
      <c r="AT35" s="147" t="n"/>
      <c r="AU35" s="147" t="n"/>
      <c r="AV35" s="147" t="n"/>
      <c r="AW35" s="158" t="n"/>
      <c r="AX35" s="147" t="n"/>
      <c r="AY35" s="147" t="n"/>
      <c r="AZ35" s="147" t="n"/>
      <c r="BA35" s="147" t="n"/>
      <c r="BB35" s="147" t="n"/>
      <c r="BC35" s="147" t="n"/>
      <c r="BD35" s="147" t="n"/>
      <c r="BE35" s="147" t="n"/>
      <c r="BF35" s="147" t="n"/>
      <c r="BG35" s="147" t="n"/>
      <c r="BH35" s="147" t="n"/>
      <c r="BI35" s="147" t="n"/>
      <c r="BJ35" s="147" t="n"/>
      <c r="BK35" s="147" t="n"/>
      <c r="BL35" s="147" t="n"/>
      <c r="BM35" s="147" t="n"/>
      <c r="BN35" s="147" t="n"/>
      <c r="BO35" s="147" t="n"/>
      <c r="BP35" s="147" t="n"/>
      <c r="BQ35" s="158" t="n"/>
      <c r="BR35" s="147" t="n"/>
      <c r="BS35" s="147" t="n"/>
      <c r="BT35" s="147" t="n"/>
      <c r="BU35" s="147" t="n"/>
      <c r="BV35" s="147" t="n"/>
      <c r="BW35" s="147" t="n"/>
      <c r="BX35" s="147" t="n"/>
      <c r="BY35" s="147" t="n"/>
      <c r="BZ35" s="147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0" t="n"/>
      <c r="CL35" s="21" t="n"/>
      <c r="CM35" s="21" t="n"/>
      <c r="CN35" s="21" t="n"/>
      <c r="CO35" s="21" t="n"/>
      <c r="CP35" s="20" t="n"/>
    </row>
    <row r="36" ht="20" customHeight="1">
      <c r="B36" s="136" t="inlineStr">
        <is>
          <t>2.18</t>
        </is>
      </c>
      <c r="C36" s="137" t="inlineStr">
        <is>
          <t>Ley 21.719: bitácora de auditoría, supresión, notificación de brechas</t>
        </is>
      </c>
      <c r="D36" s="138" t="inlineStr">
        <is>
          <t>Jossue</t>
        </is>
      </c>
      <c r="E36" s="139" t="n">
        <v>46321</v>
      </c>
      <c r="F36" s="140" t="n">
        <v>46339</v>
      </c>
      <c r="G36" s="141">
        <f>IF(F36-E36=0,"",F36-E36)</f>
        <v/>
      </c>
      <c r="H36" s="142" t="n">
        <v>0</v>
      </c>
      <c r="I36" s="5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0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0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148" t="n"/>
      <c r="BM36" s="148" t="n"/>
      <c r="BN36" s="148" t="n"/>
      <c r="BO36" s="148" t="n"/>
      <c r="BP36" s="148" t="n"/>
      <c r="BQ36" s="157" t="n"/>
      <c r="BR36" s="148" t="n"/>
      <c r="BS36" s="148" t="n"/>
      <c r="BT36" s="148" t="n"/>
      <c r="BU36" s="148" t="n"/>
      <c r="BV36" s="148" t="n"/>
      <c r="BW36" s="148" t="n"/>
      <c r="BX36" s="148" t="n"/>
      <c r="BY36" s="148" t="n"/>
      <c r="BZ36" s="148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0" t="n"/>
      <c r="CL36" s="21" t="n"/>
      <c r="CM36" s="21" t="n"/>
      <c r="CN36" s="21" t="n"/>
      <c r="CO36" s="21" t="n"/>
      <c r="CP36" s="20" t="n"/>
    </row>
    <row r="37" ht="20" customHeight="1">
      <c r="B37" s="136" t="inlineStr">
        <is>
          <t>2.19</t>
        </is>
      </c>
      <c r="C37" s="137" t="inlineStr">
        <is>
          <t>Ley 21.719: consentimientos, portabilidad, cifrado en reposo</t>
        </is>
      </c>
      <c r="D37" s="138" t="inlineStr">
        <is>
          <t>Pedro</t>
        </is>
      </c>
      <c r="E37" s="139" t="n">
        <v>46314</v>
      </c>
      <c r="F37" s="140" t="n">
        <v>46332</v>
      </c>
      <c r="G37" s="141">
        <f>IF(F37-E37=0,"",F37-E37)</f>
        <v/>
      </c>
      <c r="H37" s="142" t="n">
        <v>0</v>
      </c>
      <c r="I37" s="5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0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0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147" t="n"/>
      <c r="BH37" s="147" t="n"/>
      <c r="BI37" s="147" t="n"/>
      <c r="BJ37" s="147" t="n"/>
      <c r="BK37" s="147" t="n"/>
      <c r="BL37" s="147" t="n"/>
      <c r="BM37" s="147" t="n"/>
      <c r="BN37" s="147" t="n"/>
      <c r="BO37" s="147" t="n"/>
      <c r="BP37" s="147" t="n"/>
      <c r="BQ37" s="158" t="n"/>
      <c r="BR37" s="147" t="n"/>
      <c r="BS37" s="147" t="n"/>
      <c r="BT37" s="147" t="n"/>
      <c r="BU37" s="147" t="n"/>
      <c r="BV37" s="21" t="n"/>
      <c r="BW37" s="21" t="n"/>
      <c r="BX37" s="21" t="n"/>
      <c r="BY37" s="21" t="n"/>
      <c r="BZ37" s="21" t="n"/>
      <c r="CA37" s="21" t="n"/>
      <c r="CB37" s="21" t="n"/>
      <c r="CC37" s="21" t="n"/>
      <c r="CD37" s="21" t="n"/>
      <c r="CE37" s="21" t="n"/>
      <c r="CF37" s="21" t="n"/>
      <c r="CG37" s="21" t="n"/>
      <c r="CH37" s="21" t="n"/>
      <c r="CI37" s="21" t="n"/>
      <c r="CJ37" s="21" t="n"/>
      <c r="CK37" s="20" t="n"/>
      <c r="CL37" s="21" t="n"/>
      <c r="CM37" s="21" t="n"/>
      <c r="CN37" s="21" t="n"/>
      <c r="CO37" s="21" t="n"/>
      <c r="CP37" s="20" t="n"/>
    </row>
    <row r="38" ht="20" customHeight="1">
      <c r="B38" s="136" t="inlineStr">
        <is>
          <t>2.20</t>
        </is>
      </c>
      <c r="C38" s="137" t="inlineStr">
        <is>
          <t>Integración: pruebas de integración, datos de demostración</t>
        </is>
      </c>
      <c r="D38" s="138" t="inlineStr">
        <is>
          <t>Jossue</t>
        </is>
      </c>
      <c r="E38" s="139" t="n">
        <v>46321</v>
      </c>
      <c r="F38" s="140" t="n">
        <v>46346</v>
      </c>
      <c r="G38" s="141">
        <f>IF(F38-E38=0,"",F38-E38)</f>
        <v/>
      </c>
      <c r="H38" s="142" t="n">
        <v>0</v>
      </c>
      <c r="I38" s="5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0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0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148" t="n"/>
      <c r="BM38" s="148" t="n"/>
      <c r="BN38" s="148" t="n"/>
      <c r="BO38" s="148" t="n"/>
      <c r="BP38" s="148" t="n"/>
      <c r="BQ38" s="157" t="n"/>
      <c r="BR38" s="148" t="n"/>
      <c r="BS38" s="148" t="n"/>
      <c r="BT38" s="148" t="n"/>
      <c r="BU38" s="148" t="n"/>
      <c r="BV38" s="148" t="n"/>
      <c r="BW38" s="148" t="n"/>
      <c r="BX38" s="148" t="n"/>
      <c r="BY38" s="148" t="n"/>
      <c r="BZ38" s="148" t="n"/>
      <c r="CA38" s="148" t="n"/>
      <c r="CB38" s="148" t="n"/>
      <c r="CC38" s="148" t="n"/>
      <c r="CD38" s="148" t="n"/>
      <c r="CE38" s="148" t="n"/>
      <c r="CF38" s="21" t="n"/>
      <c r="CG38" s="21" t="n"/>
      <c r="CH38" s="21" t="n"/>
      <c r="CI38" s="21" t="n"/>
      <c r="CJ38" s="21" t="n"/>
      <c r="CK38" s="20" t="n"/>
      <c r="CL38" s="21" t="n"/>
      <c r="CM38" s="21" t="n"/>
      <c r="CN38" s="21" t="n"/>
      <c r="CO38" s="21" t="n"/>
      <c r="CP38" s="20" t="n"/>
    </row>
    <row r="39" ht="20" customHeight="1" thickBot="1">
      <c r="B39" s="136" t="inlineStr">
        <is>
          <t>2.21</t>
        </is>
      </c>
      <c r="C39" s="137" t="inlineStr">
        <is>
          <t>Integración: pruebas unitarias, métricas, documentación técnica</t>
        </is>
      </c>
      <c r="D39" s="162" t="inlineStr">
        <is>
          <t>Pedro</t>
        </is>
      </c>
      <c r="E39" s="163" t="n">
        <v>46321</v>
      </c>
      <c r="F39" s="164" t="n">
        <v>46346</v>
      </c>
      <c r="G39" s="165">
        <f>IF(F39-E39=0,"",F39-E39)</f>
        <v/>
      </c>
      <c r="H39" s="166" t="n">
        <v>0</v>
      </c>
      <c r="I39" s="52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5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5" t="n"/>
      <c r="AX39" s="26" t="n"/>
      <c r="AY39" s="26" t="n"/>
      <c r="AZ39" s="26" t="n"/>
      <c r="BA39" s="26" t="n"/>
      <c r="BB39" s="26" t="n"/>
      <c r="BC39" s="26" t="n"/>
      <c r="BD39" s="26" t="n"/>
      <c r="BE39" s="26" t="n"/>
      <c r="BF39" s="26" t="n"/>
      <c r="BG39" s="26" t="n"/>
      <c r="BH39" s="26" t="n"/>
      <c r="BI39" s="26" t="n"/>
      <c r="BJ39" s="26" t="n"/>
      <c r="BK39" s="26" t="n"/>
      <c r="BL39" s="169" t="n"/>
      <c r="BM39" s="169" t="n"/>
      <c r="BN39" s="169" t="n"/>
      <c r="BO39" s="169" t="n"/>
      <c r="BP39" s="169" t="n"/>
      <c r="BQ39" s="170" t="n"/>
      <c r="BR39" s="169" t="n"/>
      <c r="BS39" s="169" t="n"/>
      <c r="BT39" s="169" t="n"/>
      <c r="BU39" s="169" t="n"/>
      <c r="BV39" s="169" t="n"/>
      <c r="BW39" s="169" t="n"/>
      <c r="BX39" s="169" t="n"/>
      <c r="BY39" s="169" t="n"/>
      <c r="BZ39" s="169" t="n"/>
      <c r="CA39" s="169" t="n"/>
      <c r="CB39" s="169" t="n"/>
      <c r="CC39" s="169" t="n"/>
      <c r="CD39" s="169" t="n"/>
      <c r="CE39" s="169" t="n"/>
      <c r="CF39" s="26" t="n"/>
      <c r="CG39" s="26" t="n"/>
      <c r="CH39" s="26" t="n"/>
      <c r="CI39" s="26" t="n"/>
      <c r="CJ39" s="26" t="n"/>
      <c r="CK39" s="25" t="n"/>
      <c r="CL39" s="26" t="n"/>
      <c r="CM39" s="26" t="n"/>
      <c r="CN39" s="26" t="n"/>
      <c r="CO39" s="26" t="n"/>
      <c r="CP39" s="25" t="n"/>
    </row>
    <row r="40">
      <c r="B40" s="171" t="inlineStr">
        <is>
          <t>2.22</t>
        </is>
      </c>
      <c r="C40" s="171" t="inlineStr">
        <is>
          <t>Entrega final del proyecto (16-nov)</t>
        </is>
      </c>
      <c r="D40" s="171" t="inlineStr">
        <is>
          <t>Ambos</t>
        </is>
      </c>
      <c r="E40" s="172" t="n">
        <v>46342</v>
      </c>
      <c r="F40" s="172" t="n">
        <v>46346</v>
      </c>
      <c r="G40" s="173">
        <f>IF(F40-E40=0,"",F40-E40)</f>
        <v/>
      </c>
      <c r="H40" s="174" t="n">
        <v>0</v>
      </c>
      <c r="CA40" s="175" t="n"/>
      <c r="CB40" s="175" t="n"/>
      <c r="CC40" s="175" t="n"/>
      <c r="CD40" s="175" t="n"/>
      <c r="CE40" s="175" t="n"/>
    </row>
    <row r="41">
      <c r="B41" s="176" t="inlineStr">
        <is>
          <t>3</t>
        </is>
      </c>
      <c r="C41" s="176" t="inlineStr">
        <is>
          <t>FASE 3 — PRESENTACIÓN DEL PROYECTO APT</t>
        </is>
      </c>
      <c r="D41" s="176" t="inlineStr"/>
      <c r="E41" s="172" t="n">
        <v>46349</v>
      </c>
      <c r="F41" s="172" t="n">
        <v>46360</v>
      </c>
      <c r="G41" s="173">
        <f>IF(F41-E41=0,"",F41-E41)</f>
        <v/>
      </c>
      <c r="CF41" s="177" t="n"/>
      <c r="CG41" s="177" t="n"/>
      <c r="CH41" s="177" t="n"/>
      <c r="CI41" s="177" t="n"/>
      <c r="CJ41" s="177" t="n"/>
      <c r="CK41" s="177" t="n"/>
      <c r="CL41" s="177" t="n"/>
      <c r="CM41" s="177" t="n"/>
      <c r="CN41" s="177" t="n"/>
      <c r="CO41" s="177" t="n"/>
    </row>
    <row r="42">
      <c r="B42" s="171" t="inlineStr">
        <is>
          <t>3.1</t>
        </is>
      </c>
      <c r="C42" s="171" t="inlineStr">
        <is>
          <t>Retroalimentación y ajustes finales</t>
        </is>
      </c>
      <c r="D42" s="171" t="inlineStr">
        <is>
          <t>Ambos</t>
        </is>
      </c>
      <c r="E42" s="172" t="n">
        <v>46349</v>
      </c>
      <c r="F42" s="172" t="n">
        <v>46353</v>
      </c>
      <c r="G42" s="173">
        <f>IF(F42-E42=0,"",F42-E42)</f>
        <v/>
      </c>
      <c r="H42" s="174" t="n">
        <v>0</v>
      </c>
      <c r="CF42" s="178" t="n"/>
      <c r="CG42" s="178" t="n"/>
      <c r="CH42" s="178" t="n"/>
      <c r="CI42" s="178" t="n"/>
      <c r="CJ42" s="178" t="n"/>
    </row>
    <row r="43">
      <c r="B43" s="171" t="inlineStr">
        <is>
          <t>3.2</t>
        </is>
      </c>
      <c r="C43" s="171" t="inlineStr">
        <is>
          <t>Documentación final y diarios de reflexión</t>
        </is>
      </c>
      <c r="D43" s="171" t="inlineStr">
        <is>
          <t>Ambos</t>
        </is>
      </c>
      <c r="E43" s="172" t="n">
        <v>46349</v>
      </c>
      <c r="F43" s="172" t="n">
        <v>46353</v>
      </c>
      <c r="G43" s="173">
        <f>IF(F43-E43=0,"",F43-E43)</f>
        <v/>
      </c>
      <c r="H43" s="174" t="n">
        <v>0</v>
      </c>
      <c r="CF43" s="178" t="n"/>
      <c r="CG43" s="178" t="n"/>
      <c r="CH43" s="178" t="n"/>
      <c r="CI43" s="178" t="n"/>
      <c r="CJ43" s="178" t="n"/>
    </row>
    <row r="44">
      <c r="B44" s="171" t="inlineStr">
        <is>
          <t>3.3</t>
        </is>
      </c>
      <c r="C44" s="171" t="inlineStr">
        <is>
          <t>Preparación y ensayo de la demo (15 min)</t>
        </is>
      </c>
      <c r="D44" s="171" t="inlineStr">
        <is>
          <t>Jossue</t>
        </is>
      </c>
      <c r="E44" s="172" t="n">
        <v>46349</v>
      </c>
      <c r="F44" s="172" t="n">
        <v>46360</v>
      </c>
      <c r="G44" s="173">
        <f>IF(F44-E44=0,"",F44-E44)</f>
        <v/>
      </c>
      <c r="H44" s="174" t="n">
        <v>0</v>
      </c>
      <c r="CF44" s="179" t="n"/>
      <c r="CG44" s="179" t="n"/>
      <c r="CH44" s="179" t="n"/>
      <c r="CI44" s="179" t="n"/>
      <c r="CJ44" s="179" t="n"/>
      <c r="CK44" s="179" t="n"/>
      <c r="CL44" s="179" t="n"/>
      <c r="CM44" s="179" t="n"/>
      <c r="CN44" s="179" t="n"/>
      <c r="CO44" s="179" t="n"/>
    </row>
    <row r="45">
      <c r="B45" s="171" t="inlineStr">
        <is>
          <t>3.4</t>
        </is>
      </c>
      <c r="C45" s="171" t="inlineStr">
        <is>
          <t>Presentación final y examen (07-dic)</t>
        </is>
      </c>
      <c r="D45" s="171" t="inlineStr">
        <is>
          <t>Ambos</t>
        </is>
      </c>
      <c r="E45" s="172" t="n">
        <v>46356</v>
      </c>
      <c r="F45" s="172" t="n">
        <v>46360</v>
      </c>
      <c r="G45" s="173">
        <f>IF(F45-E45=0,"",F45-E45)</f>
        <v/>
      </c>
      <c r="H45" s="174" t="n">
        <v>0</v>
      </c>
      <c r="CK45" s="175" t="n"/>
      <c r="CL45" s="175" t="n"/>
      <c r="CM45" s="175" t="n"/>
      <c r="CN45" s="175" t="n"/>
      <c r="CO45" s="175" t="n"/>
    </row>
    <row r="46" ht="19" customHeight="1">
      <c r="C46" s="3" t="n"/>
    </row>
    <row r="47">
      <c r="B47" s="176" t="inlineStr">
        <is>
          <t>LEYENDA</t>
        </is>
      </c>
    </row>
    <row r="48">
      <c r="B48" s="177" t="n"/>
      <c r="C48" s="180" t="inlineStr">
        <is>
          <t>Fase</t>
        </is>
      </c>
    </row>
    <row r="49">
      <c r="B49" s="179" t="n"/>
      <c r="C49" s="180" t="inlineStr">
        <is>
          <t>Jossue Padrón</t>
        </is>
      </c>
    </row>
    <row r="50">
      <c r="B50" s="181" t="n"/>
      <c r="C50" s="180" t="inlineStr">
        <is>
          <t>Pedro Torres</t>
        </is>
      </c>
    </row>
    <row r="51">
      <c r="B51" s="178" t="n"/>
      <c r="C51" s="180" t="inlineStr">
        <is>
          <t>Ambos</t>
        </is>
      </c>
    </row>
    <row r="52">
      <c r="B52" s="175" t="n"/>
      <c r="C52" s="180" t="inlineStr">
        <is>
          <t>Hito evaluado</t>
        </is>
      </c>
    </row>
    <row r="54">
      <c r="C54" s="182" t="inlineStr">
        <is>
          <t>El examen final es el 07-dic-2026, lunes siguiente al cierre de la semana 17; la plantilla llega hasta la semana 17.</t>
        </is>
      </c>
    </row>
  </sheetData>
  <mergeCells count="22">
    <mergeCell ref="BL8:BP8"/>
    <mergeCell ref="AW8:BA8"/>
    <mergeCell ref="AM8:AQ8"/>
    <mergeCell ref="AC7:AV7"/>
    <mergeCell ref="CK7:CO7"/>
    <mergeCell ref="X8:AB8"/>
    <mergeCell ref="AW7:BP7"/>
    <mergeCell ref="BG8:BK8"/>
    <mergeCell ref="AH8:AL8"/>
    <mergeCell ref="AR8:AV8"/>
    <mergeCell ref="S8:W8"/>
    <mergeCell ref="BB8:BF8"/>
    <mergeCell ref="I7:AB7"/>
    <mergeCell ref="AC8:AG8"/>
    <mergeCell ref="N8:R8"/>
    <mergeCell ref="BV8:BZ8"/>
    <mergeCell ref="I8:M8"/>
    <mergeCell ref="CF8:CJ8"/>
    <mergeCell ref="BQ8:BU8"/>
    <mergeCell ref="CA8:CE8"/>
    <mergeCell ref="CK8:CO8"/>
    <mergeCell ref="BQ7:CJ7"/>
  </mergeCells>
  <conditionalFormatting sqref="H10:H39">
    <cfRule type="dataBar" priority="1">
      <dataBar>
        <cfvo type="percent" val="0"/>
        <cfvo type="percent" val="100"/>
        <color theme="3" tint="0.5999938962981048"/>
      </dataBar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Alexandra Ragazhinskaya</dc:creator>
  <dcterms:created xsi:type="dcterms:W3CDTF">2016-03-21T16:06:55Z</dcterms:created>
  <dcterms:modified xsi:type="dcterms:W3CDTF">2026-08-26T17:01:08Z</dcterms:modified>
  <cp:lastModifiedBy>ANIBAL EDMUNDO FAUNDEZ DEL RIO</cp:lastModifiedBy>
</cp:coreProperties>
</file>